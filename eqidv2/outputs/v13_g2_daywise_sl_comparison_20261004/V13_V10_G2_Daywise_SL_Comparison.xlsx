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2d9c5738d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42acf945d5487a"/>
    <x:sheet xmlns:r="http://schemas.openxmlformats.org/officeDocument/2006/relationships" name="Daywise detail" sheetId="2" r:id="R45925698ae86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-mmm"/>
    <x:numFmt numFmtId="201" formatCode="0"/>
    <x:numFmt numFmtId="202" formatCode="#,##0.00;[Red](#,##0.00);-"/>
    <x:numFmt numFmtId="203" formatCode="0.00%"/>
    <x:numFmt numFmtId="204" formatCode="0.000"/>
  </x:numFmts>
  <x:fonts count="8">
    <x:font>
      <x:sz val="11"/>
      <x:name val="Carlito"/>
    </x:font>
    <x:font>
      <x:sz val="10"/>
      <x:color rgb="FF1F2933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sz val="9"/>
      <x:color rgb="FF5B6573"/>
      <x:name val="Arial"/>
    </x:font>
    <x:font>
      <x:b/>
      <x:sz val="9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9E480E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5B6573"/>
      </x:patternFill>
    </x:fill>
  </x:fills>
  <x:borders count="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6" borderId="4" xfId="0" applyNumberFormat="1" applyFont="1" applyFill="1" applyBorder="1" applyAlignment="1">
      <x:alignment vertical="center"/>
    </x:xf>
    <x:xf numFmtId="201" fontId="1" fillId="6" borderId="4" xfId="0" applyNumberFormat="1" applyFont="1" applyFill="1" applyBorder="1" applyAlignment="1">
      <x:alignment vertical="center"/>
    </x:xf>
    <x:xf numFmtId="202" fontId="1" fillId="6" borderId="4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0" fontId="5" fillId="7" borderId="0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0" fontId="5" fillId="7" borderId="4" xfId="0" applyNumberFormat="1" applyFont="1" applyFill="1" applyBorder="1"/>
    <x:xf numFmtId="202" fontId="5" fillId="0" borderId="4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8" borderId="0" xfId="0" applyNumberFormat="1" applyFont="1" applyFill="1" applyBorder="1"/>
    <x:xf numFmtId="202" fontId="6" fillId="0" borderId="0" xfId="0" applyNumberFormat="1" applyFont="1" applyFill="1" applyBorder="1"/>
  </x:cellXfs>
  <x:cellStyles count="1">
    <x:cellStyle name="Normal" xfId="0"/>
  </x:cellStyles>
  <x:dxfs count="1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a45dced2844a2" /><Relationship Type="http://schemas.openxmlformats.org/officeDocument/2006/relationships/theme" Target="/xl/theme/theme1.xml" Id="Ra78722085ad34d70" /><Relationship Type="http://schemas.openxmlformats.org/officeDocument/2006/relationships/sharedStrings" Target="/xl/sharedStrings.xml" Id="R85c71e74d0924fc2" /><Relationship Type="http://schemas.openxmlformats.org/officeDocument/2006/relationships/worksheet" Target="/xl/worksheets/sheet1.xml" Id="R9942acf945d5487a" /><Relationship Type="http://schemas.openxmlformats.org/officeDocument/2006/relationships/worksheet" Target="/xl/worksheets/sheet2.xml" Id="R45925698ae864a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632657bff049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Cumulative net P&amp;L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1.00% cumulative (₹)</c:v>
          </c:tx>
          <c:marker>
            <c:symbol val="none"/>
          </c:marker>
          <c:cat>
            <c:strRef>
              <c:f>'Summary'!$P$6:$P$48</c:f>
              <c:strCache>
                <c:ptCount val="0"/>
              </c:strCache>
            </c:strRef>
          </c:cat>
          <c:val>
            <c:numRef>
              <c:f>'Summary'!$Q$6:$Q$48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1.25% cumulative (₹)</c:v>
          </c:tx>
          <c:marker>
            <c:symbol val="none"/>
          </c:marker>
          <c:cat>
            <c:strRef>
              <c:f>'Summary'!$P$6:$P$48</c:f>
              <c:strCache>
                <c:ptCount val="0"/>
              </c:strCache>
            </c:strRef>
          </c:cat>
          <c:val>
            <c:numRef>
              <c:f>'Summary'!$R$6:$R$48</c:f>
              <c:numCache>
                <c:formatCode>#,##0.00;[Red](#,##0.00);-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2.75% cumulative (₹)</c:v>
          </c:tx>
          <c:marker>
            <c:symbol val="none"/>
          </c:marker>
          <c:cat>
            <c:strRef>
              <c:f>'Summary'!$P$6:$P$48</c:f>
              <c:strCache>
                <c:ptCount val="0"/>
              </c:strCache>
            </c:strRef>
          </c:cat>
          <c:val>
            <c:numRef>
              <c:f>'Summary'!$S$6:$S$48</c:f>
              <c:numCache>
                <c:formatCode>#,##0.00;[Red](#,##0.00);-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-mmm" sourceLinked="0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632657bff049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ad49d1fa7a4ff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16" max="16" width="11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2" ht="24" customHeight="1">
      <x:c r="A2" s="2" t="str">
        <x:v>V13-v10-G-2 stop-loss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0" customHeight="1">
      <x:c r="A3" s="3" t="str">
        <x:v>Certified through 30-Sep-2026. Entries, targets, sizing, costs and portfolio rules are unchanged across all three SL settings.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12" t="str">
        <x:v>Metric</x:v>
      </x:c>
      <x:c r="B5" s="13" t="str">
        <x:v>1.00% SL</x:v>
      </x:c>
      <x:c r="C5" s="13" t="str">
        <x:v>1.25% SL</x:v>
      </x:c>
      <x:c r="D5" s="14" t="str">
        <x:v>2.75% SL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P5" s="57" t="str">
        <x:v>Date</x:v>
      </x:c>
      <x:c r="Q5" s="57" t="str">
        <x:v>1.00% cumulative (₹)</x:v>
      </x:c>
      <x:c r="R5" s="57" t="str">
        <x:v>1.25% cumulative (₹)</x:v>
      </x:c>
      <x:c r="S5" s="57" t="str">
        <x:v>2.75% cumulative (₹)</x:v>
      </x:c>
    </x:row>
    <x:row r="6">
      <x:c r="A6" s="44" t="str">
        <x:v>Sessions</x:v>
      </x:c>
      <x:c r="B6" s="45" t="n">
        <x:f>ROWS('Daywise detail'!$A$7:$A$49)</x:f>
        <x:v>43</x:v>
      </x:c>
      <x:c r="C6" s="45" t="n">
        <x:f>ROWS('Daywise detail'!$A$7:$A$49)</x:f>
        <x:v>43</x:v>
      </x:c>
      <x:c r="D6" s="45" t="n">
        <x:f>ROWS('Daywise detail'!$A$7:$A$49)</x:f>
        <x:v>43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P6" s="55" t="str">
        <x:v>29 Jul</x:v>
      </x:c>
      <x:c r="Q6" s="58" t="n">
        <x:f>'Daywise detail'!I7</x:f>
        <x:v>16093.152341</x:v>
      </x:c>
      <x:c r="R6" s="58" t="n">
        <x:f>'Daywise detail'!P7</x:f>
        <x:v>16093.152341</x:v>
      </x:c>
      <x:c r="S6" s="58" t="n">
        <x:f>'Daywise detail'!W7</x:f>
        <x:v>16093.152341</x:v>
      </x:c>
    </x:row>
    <x:row r="7">
      <x:c r="A7" s="44" t="str">
        <x:v>Executed trades</x:v>
      </x:c>
      <x:c r="B7" s="45" t="n">
        <x:f>SUM('Daywise detail'!$C$7:$C$49)</x:f>
        <x:v>85</x:v>
      </x:c>
      <x:c r="C7" s="45" t="n">
        <x:f>SUM('Daywise detail'!$C$7:$C$49)</x:f>
        <x:v>85</x:v>
      </x:c>
      <x:c r="D7" s="45" t="n">
        <x:f>SUM('Daywise detail'!$C$7:$C$49)</x:f>
        <x:v>85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P7" s="55" t="str">
        <x:v>30 Jul</x:v>
      </x:c>
      <x:c r="Q7" s="58" t="n">
        <x:f>'Daywise detail'!I8</x:f>
        <x:v>16093.152341</x:v>
      </x:c>
      <x:c r="R7" s="58" t="n">
        <x:f>'Daywise detail'!P8</x:f>
        <x:v>16093.152341</x:v>
      </x:c>
      <x:c r="S7" s="58" t="n">
        <x:f>'Daywise detail'!W8</x:f>
        <x:v>16093.152341</x:v>
      </x:c>
    </x:row>
    <x:row r="8">
      <x:c r="A8" s="44" t="str">
        <x:v>Wins</x:v>
      </x:c>
      <x:c r="B8" s="45" t="n">
        <x:f>SUM('Daywise detail'!$D$7:$D$49)</x:f>
        <x:v>57</x:v>
      </x:c>
      <x:c r="C8" s="45" t="n">
        <x:f>SUM('Daywise detail'!$K$7:$K$49)</x:f>
        <x:v>59</x:v>
      </x:c>
      <x:c r="D8" s="45" t="n">
        <x:f>SUM('Daywise detail'!$R$7:$R$49)</x:f>
        <x:v>60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P8" s="55" t="str">
        <x:v>31 Jul</x:v>
      </x:c>
      <x:c r="Q8" s="58" t="n">
        <x:f>'Daywise detail'!I9</x:f>
        <x:v>26243.152341</x:v>
      </x:c>
      <x:c r="R8" s="58" t="n">
        <x:f>'Daywise detail'!P9</x:f>
        <x:v>26243.152341</x:v>
      </x:c>
      <x:c r="S8" s="58" t="n">
        <x:f>'Daywise detail'!W9</x:f>
        <x:v>26243.152341</x:v>
      </x:c>
    </x:row>
    <x:row r="9">
      <x:c r="A9" s="44" t="str">
        <x:v>Losses</x:v>
      </x:c>
      <x:c r="B9" s="45" t="n">
        <x:f>SUM('Daywise detail'!$E$7:$E$49)</x:f>
        <x:v>28</x:v>
      </x:c>
      <x:c r="C9" s="45" t="n">
        <x:f>SUM('Daywise detail'!$L$7:$L$49)</x:f>
        <x:v>26</x:v>
      </x:c>
      <x:c r="D9" s="45" t="n">
        <x:f>SUM('Daywise detail'!$S$7:$S$49)</x:f>
        <x:v>25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P9" s="55" t="str">
        <x:v>03 Aug</x:v>
      </x:c>
      <x:c r="Q9" s="58" t="n">
        <x:f>'Daywise detail'!I10</x:f>
        <x:v>33893.152341</x:v>
      </x:c>
      <x:c r="R9" s="58" t="n">
        <x:f>'Daywise detail'!P10</x:f>
        <x:v>31393.152341</x:v>
      </x:c>
      <x:c r="S9" s="58" t="n">
        <x:f>'Daywise detail'!W10</x:f>
        <x:v>43296.964218</x:v>
      </x:c>
    </x:row>
    <x:row r="10">
      <x:c r="A10" s="44" t="str">
        <x:v>Win rate</x:v>
      </x:c>
      <x:c r="B10" s="46" t="n">
        <x:f>B8/B7</x:f>
        <x:v>0.6705882352941176</x:v>
      </x:c>
      <x:c r="C10" s="46" t="n">
        <x:f>C8/C7</x:f>
        <x:v>0.6941176470588235</x:v>
      </x:c>
      <x:c r="D10" s="46" t="n">
        <x:f>D8/D7</x:f>
        <x:v>0.7058823529411765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P10" s="55" t="str">
        <x:v>04 Aug</x:v>
      </x:c>
      <x:c r="Q10" s="58" t="n">
        <x:f>'Daywise detail'!I11</x:f>
        <x:v>43101.424432</x:v>
      </x:c>
      <x:c r="R10" s="58" t="n">
        <x:f>'Daywise detail'!P11</x:f>
        <x:v>39351.424432</x:v>
      </x:c>
      <x:c r="S10" s="58" t="n">
        <x:f>'Daywise detail'!W11</x:f>
        <x:v>52910.469238000005</x:v>
      </x:c>
    </x:row>
    <x:row r="11">
      <x:c r="A11" s="44" t="str">
        <x:v>Positive sessions</x:v>
      </x:c>
      <x:c r="B11" s="45" t="n">
        <x:f>COUNTIFS('Daywise detail'!$H$7:$H$49,"&gt;0")</x:f>
        <x:v>23</x:v>
      </x:c>
      <x:c r="C11" s="45" t="n">
        <x:f>COUNTIFS('Daywise detail'!$O$7:$O$49,"&gt;0")</x:f>
        <x:v>25</x:v>
      </x:c>
      <x:c r="D11" s="45" t="n">
        <x:f>COUNTIFS('Daywise detail'!$V$7:$V$49,"&gt;0")</x:f>
        <x:v>25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P11" s="55" t="str">
        <x:v>05 Aug</x:v>
      </x:c>
      <x:c r="Q11" s="58" t="n">
        <x:f>'Daywise detail'!I12</x:f>
        <x:v>43101.424432</x:v>
      </x:c>
      <x:c r="R11" s="58" t="n">
        <x:f>'Daywise detail'!P12</x:f>
        <x:v>39351.424432</x:v>
      </x:c>
      <x:c r="S11" s="58" t="n">
        <x:f>'Daywise detail'!W12</x:f>
        <x:v>52910.469238000005</x:v>
      </x:c>
    </x:row>
    <x:row r="12">
      <x:c r="A12" s="44" t="str">
        <x:v>Positive-session rate</x:v>
      </x:c>
      <x:c r="B12" s="46" t="n">
        <x:f>B11/B6</x:f>
        <x:v>0.5348837209302325</x:v>
      </x:c>
      <x:c r="C12" s="46" t="n">
        <x:f>C11/C6</x:f>
        <x:v>0.5813953488372093</x:v>
      </x:c>
      <x:c r="D12" s="46" t="n">
        <x:f>D11/D6</x:f>
        <x:v>0.5813953488372093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P12" s="55" t="str">
        <x:v>06 Aug</x:v>
      </x:c>
      <x:c r="Q12" s="58" t="n">
        <x:f>'Daywise detail'!I13</x:f>
        <x:v>55632.029961</x:v>
      </x:c>
      <x:c r="R12" s="58" t="n">
        <x:f>'Daywise detail'!P13</x:f>
        <x:v>51882.029961</x:v>
      </x:c>
      <x:c r="S12" s="58" t="n">
        <x:f>'Daywise detail'!W13</x:f>
        <x:v>65441.074767000006</x:v>
      </x:c>
    </x:row>
    <x:row r="13">
      <x:c r="A13" s="44" t="str">
        <x:v>Positive active-session rate</x:v>
      </x:c>
      <x:c r="B13" s="46" t="n">
        <x:f>B11/(COUNTIFS('Daywise detail'!$H$7:$H$49,"&gt;0")+COUNTIFS('Daywise detail'!$H$7:$H$49,"&lt;0"))</x:f>
        <x:v>0.6764705882352942</x:v>
      </x:c>
      <x:c r="C13" s="46" t="n">
        <x:f>C11/(COUNTIFS('Daywise detail'!$O$7:$O$49,"&gt;0")+COUNTIFS('Daywise detail'!$O$7:$O$49,"&lt;0"))</x:f>
        <x:v>0.7352941176470589</x:v>
      </x:c>
      <x:c r="D13" s="46" t="n">
        <x:f>D11/(COUNTIFS('Daywise detail'!$V$7:$V$49,"&gt;0")+COUNTIFS('Daywise detail'!$V$7:$V$49,"&lt;0"))</x:f>
        <x:v>0.7352941176470589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P13" s="55" t="str">
        <x:v>07 Aug</x:v>
      </x:c>
      <x:c r="Q13" s="58" t="n">
        <x:f>'Daywise detail'!I14</x:f>
        <x:v>55632.029961</x:v>
      </x:c>
      <x:c r="R13" s="58" t="n">
        <x:f>'Daywise detail'!P14</x:f>
        <x:v>51882.029961</x:v>
      </x:c>
      <x:c r="S13" s="58" t="n">
        <x:f>'Daywise detail'!W14</x:f>
        <x:v>65441.074767000006</x:v>
      </x:c>
    </x:row>
    <x:row r="14">
      <x:c r="A14" s="44" t="str">
        <x:v>Gross P&amp;L (₹)</x:v>
      </x:c>
      <x:c r="B14" s="47" t="n">
        <x:f>SUM('Daywise detail'!$F$7:$F$49)</x:f>
        <x:v>241909.005983</x:v>
      </x:c>
      <x:c r="C14" s="47" t="n">
        <x:f>SUM('Daywise detail'!$M$7:$M$49)</x:f>
        <x:v>244893.91732299997</x:v>
      </x:c>
      <x:c r="D14" s="47" t="n">
        <x:f>SUM('Daywise detail'!$T$7:$T$49)</x:f>
        <x:v>265262.71811499994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P14" s="55" t="str">
        <x:v>10 Aug</x:v>
      </x:c>
      <x:c r="Q14" s="58" t="n">
        <x:f>'Daywise detail'!I15</x:f>
        <x:v>76382.029961</x:v>
      </x:c>
      <x:c r="R14" s="58" t="n">
        <x:f>'Daywise detail'!P15</x:f>
        <x:v>72632.029961</x:v>
      </x:c>
      <x:c r="S14" s="58" t="n">
        <x:f>'Daywise detail'!W15</x:f>
        <x:v>86191.07476700001</x:v>
      </x:c>
    </x:row>
    <x:row r="15">
      <x:c r="A15" s="44" t="str">
        <x:v>Costs (₹)</x:v>
      </x:c>
      <x:c r="B15" s="47" t="n">
        <x:f>SUM('Daywise detail'!$G$7:$G$49)</x:f>
        <x:v>21250</x:v>
      </x:c>
      <x:c r="C15" s="47" t="n">
        <x:f>SUM('Daywise detail'!$N$7:$N$49)</x:f>
        <x:v>21250</x:v>
      </x:c>
      <x:c r="D15" s="47" t="n">
        <x:f>SUM('Daywise detail'!$U$7:$U$49)</x:f>
        <x:v>21250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P15" s="55" t="str">
        <x:v>11 Aug</x:v>
      </x:c>
      <x:c r="Q15" s="58" t="n">
        <x:f>'Daywise detail'!I16</x:f>
        <x:v>79982.029961</x:v>
      </x:c>
      <x:c r="R15" s="58" t="n">
        <x:f>'Daywise detail'!P16</x:f>
        <x:v>76796.83700199999</x:v>
      </x:c>
      <x:c r="S15" s="58" t="n">
        <x:f>'Daywise detail'!W16</x:f>
        <x:v>93254.97248200001</x:v>
      </x:c>
    </x:row>
    <x:row r="16">
      <x:c r="A16" s="51" t="str">
        <x:v>Net P&amp;L (₹)</x:v>
      </x:c>
      <x:c r="B16" s="52" t="n">
        <x:f>SUM('Daywise detail'!$H$7:$H$49)</x:f>
        <x:v>220659.005983</x:v>
      </x:c>
      <x:c r="C16" s="52" t="n">
        <x:f>SUM('Daywise detail'!$O$7:$O$49)</x:f>
        <x:v>223643.91732299997</x:v>
      </x:c>
      <x:c r="D16" s="52" t="n">
        <x:f>SUM('Daywise detail'!$V$7:$V$49)</x:f>
        <x:v>244012.71811499997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P16" s="55" t="str">
        <x:v>12 Aug</x:v>
      </x:c>
      <x:c r="Q16" s="58" t="n">
        <x:f>'Daywise detail'!I17</x:f>
        <x:v>82645.395274</x:v>
      </x:c>
      <x:c r="R16" s="58" t="n">
        <x:f>'Daywise detail'!P17</x:f>
        <x:v>81937.08008499998</x:v>
      </x:c>
      <x:c r="S16" s="58" t="n">
        <x:f>'Daywise detail'!W17</x:f>
        <x:v>98395.215565</x:v>
      </x:c>
    </x:row>
    <x:row r="17">
      <x:c r="A17" s="44" t="str">
        <x:v>Profit factor (trade level)</x:v>
      </x:c>
      <x:c r="B17" s="48" t="n">
        <x:v>2.8761400612564905</x:v>
      </x:c>
      <x:c r="C17" s="48" t="n">
        <x:v>2.859165765524514</x:v>
      </x:c>
      <x:c r="D17" s="48" t="n">
        <x:v>3.354470223771117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P17" s="55" t="str">
        <x:v>13 Aug</x:v>
      </x:c>
      <x:c r="Q17" s="58" t="n">
        <x:f>'Daywise detail'!I18</x:f>
        <x:v>82645.395274</x:v>
      </x:c>
      <x:c r="R17" s="58" t="n">
        <x:f>'Daywise detail'!P18</x:f>
        <x:v>81937.08008499998</x:v>
      </x:c>
      <x:c r="S17" s="58" t="n">
        <x:f>'Daywise detail'!W18</x:f>
        <x:v>98395.215565</x:v>
      </x:c>
    </x:row>
    <x:row r="18">
      <x:c r="A18" s="44" t="str">
        <x:v>Maximum daily-close drawdown (₹)</x:v>
      </x:c>
      <x:c r="B18" s="47" t="n">
        <x:f>MAX('Daywise detail'!$J$7:$J$49)</x:f>
        <x:v>11671.161415999988</x:v>
      </x:c>
      <x:c r="C18" s="47" t="n">
        <x:f>MAX('Daywise detail'!$Q$7:$Q$49)</x:f>
        <x:v>14142.136070999986</x:v>
      </x:c>
      <x:c r="D18" s="47" t="n">
        <x:f>MAX('Daywise detail'!$X$7:$X$49)</x:f>
        <x:v>15135.442192999995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P18" s="55" t="str">
        <x:v>14 Aug</x:v>
      </x:c>
      <x:c r="Q18" s="58" t="n">
        <x:f>'Daywise detail'!I19</x:f>
        <x:v>91213.09147</x:v>
      </x:c>
      <x:c r="R18" s="58" t="n">
        <x:f>'Daywise detail'!P19</x:f>
        <x:v>90504.77628099998</x:v>
      </x:c>
      <x:c r="S18" s="58" t="n">
        <x:f>'Daywise detail'!W19</x:f>
        <x:v>106962.91176100001</x:v>
      </x:c>
    </x:row>
    <x:row r="19">
      <x:c r="A19" s="44" t="str">
        <x:v>Peak open initial risk (₹)</x:v>
      </x:c>
      <x:c r="B19" s="47" t="n">
        <x:v>31500</x:v>
      </x:c>
      <x:c r="C19" s="47" t="n">
        <x:v>39000</x:v>
      </x:c>
      <x:c r="D19" s="47" t="n">
        <x:v>84000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P19" s="55" t="str">
        <x:v>17 Aug</x:v>
      </x:c>
      <x:c r="Q19" s="58" t="n">
        <x:f>'Daywise detail'!I20</x:f>
        <x:v>80713.09147</x:v>
      </x:c>
      <x:c r="R19" s="58" t="n">
        <x:f>'Daywise detail'!P20</x:f>
        <x:v>77504.77628099998</x:v>
      </x:c>
      <x:c r="S19" s="58" t="n">
        <x:f>'Daywise detail'!W20</x:f>
        <x:v>92759.981616</x:v>
      </x:c>
    </x:row>
    <x:row r="20">
      <x:c r="A20" s="44" t="str">
        <x:v>Stop exits</x:v>
      </x:c>
      <x:c r="B20" s="45" t="n">
        <x:v>19</x:v>
      </x:c>
      <x:c r="C20" s="45" t="n">
        <x:v>15</x:v>
      </x:c>
      <x:c r="D20" s="45" t="n">
        <x:v>0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P20" s="55" t="str">
        <x:v>18 Aug</x:v>
      </x:c>
      <x:c r="Q20" s="58" t="n">
        <x:f>'Daywise detail'!I21</x:f>
        <x:v>95855.624124</x:v>
      </x:c>
      <x:c r="R20" s="58" t="n">
        <x:f>'Daywise detail'!P21</x:f>
        <x:v>92647.30893499998</x:v>
      </x:c>
      <x:c r="S20" s="58" t="n">
        <x:f>'Daywise detail'!W21</x:f>
        <x:v>107902.51427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P21" s="55" t="str">
        <x:v>19 Aug</x:v>
      </x:c>
      <x:c r="Q21" s="58" t="n">
        <x:f>'Daywise detail'!I22</x:f>
        <x:v>100624.143978</x:v>
      </x:c>
      <x:c r="R21" s="58" t="n">
        <x:f>'Daywise detail'!P22</x:f>
        <x:v>97415.82878899998</x:v>
      </x:c>
      <x:c r="S21" s="58" t="n">
        <x:f>'Daywise detail'!W22</x:f>
        <x:v>112671.034124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P22" s="55" t="str">
        <x:v>20 Aug</x:v>
      </x:c>
      <x:c r="Q22" s="58" t="n">
        <x:f>'Daywise detail'!I23</x:f>
        <x:v>95811.08066499999</x:v>
      </x:c>
      <x:c r="R22" s="58" t="n">
        <x:f>'Daywise detail'!P23</x:f>
        <x:v>91352.76547599997</x:v>
      </x:c>
      <x:c r="S22" s="58" t="n">
        <x:f>'Daywise detail'!W23</x:f>
        <x:v>101676.64906</x:v>
      </x:c>
    </x:row>
    <x:row r="23" ht="22" customHeight="1">
      <x:c r="A23" s="28" t="str">
        <x:v>Change versus 1.00% SL</x:v>
      </x:c>
      <x:c r="B23" s="28" t="str">
        <x:v>1.25% SL</x:v>
      </x:c>
      <x:c r="C23" s="28" t="str">
        <x:v>2.75% SL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P23" s="55" t="str">
        <x:v>21 Aug</x:v>
      </x:c>
      <x:c r="Q23" s="58" t="n">
        <x:f>'Daywise detail'!I24</x:f>
        <x:v>91670.023536</x:v>
      </x:c>
      <x:c r="R23" s="58" t="n">
        <x:f>'Daywise detail'!P24</x:f>
        <x:v>87211.70834699998</x:v>
      </x:c>
      <x:c r="S23" s="58" t="n">
        <x:f>'Daywise detail'!W24</x:f>
        <x:v>97535.591931</x:v>
      </x:c>
    </x:row>
    <x:row r="24">
      <x:c r="A24" s="44" t="str">
        <x:v>Win-rate change</x:v>
      </x:c>
      <x:c r="B24" s="53" t="n">
        <x:f>C10-B10</x:f>
        <x:v>0.02352941176470591</x:v>
      </x:c>
      <x:c r="C24" s="53" t="n">
        <x:f>D10-B10</x:f>
        <x:v>0.03529411764705892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P24" s="55" t="str">
        <x:v>26 Aug</x:v>
      </x:c>
      <x:c r="Q24" s="58" t="n">
        <x:f>'Daywise detail'!I25</x:f>
        <x:v>103288.258317</x:v>
      </x:c>
      <x:c r="R24" s="58" t="n">
        <x:f>'Daywise detail'!P25</x:f>
        <x:v>98829.94312799998</x:v>
      </x:c>
      <x:c r="S24" s="58" t="n">
        <x:f>'Daywise detail'!W25</x:f>
        <x:v>109153.82671200001</x:v>
      </x:c>
    </x:row>
    <x:row r="25">
      <x:c r="A25" s="44" t="str">
        <x:v>Net P&amp;L change (₹)</x:v>
      </x:c>
      <x:c r="B25" s="54" t="n">
        <x:f>C16-B16</x:f>
        <x:v>2984.9113399999624</x:v>
      </x:c>
      <x:c r="C25" s="54" t="n">
        <x:f>D16-B16</x:f>
        <x:v>23353.712131999957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P25" s="55" t="str">
        <x:v>27 Aug</x:v>
      </x:c>
      <x:c r="Q25" s="58" t="n">
        <x:f>'Daywise detail'!I26</x:f>
        <x:v>97712.926873</x:v>
      </x:c>
      <x:c r="R25" s="58" t="n">
        <x:f>'Daywise detail'!P26</x:f>
        <x:v>101504.61168399999</x:v>
      </x:c>
      <x:c r="S25" s="58" t="n">
        <x:f>'Daywise detail'!W26</x:f>
        <x:v>114276.948877</x:v>
      </x:c>
    </x:row>
    <x:row r="26">
      <x:c r="A26" s="44" t="str">
        <x:v>Drawdown change (₹)</x:v>
      </x:c>
      <x:c r="B26" s="54" t="n">
        <x:f>C18-B18</x:f>
        <x:v>2470.974654999998</x:v>
      </x:c>
      <x:c r="C26" s="54" t="n">
        <x:f>D18-B18</x:f>
        <x:v>3464.280777000007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P26" s="55" t="str">
        <x:v>28 Aug</x:v>
      </x:c>
      <x:c r="Q26" s="58" t="n">
        <x:f>'Daywise detail'!I27</x:f>
        <x:v>130673.978592</x:v>
      </x:c>
      <x:c r="R26" s="58" t="n">
        <x:f>'Daywise detail'!P27</x:f>
        <x:v>134465.66340299998</x:v>
      </x:c>
      <x:c r="S26" s="58" t="n">
        <x:f>'Daywise detail'!W27</x:f>
        <x:v>147238.000596</x:v>
      </x:c>
    </x:row>
    <x:row r="27">
      <x:c r="A27" s="44" t="str">
        <x:v>Peak-risk change (₹)</x:v>
      </x:c>
      <x:c r="B27" s="54" t="n">
        <x:f>C19-B19</x:f>
        <x:v>7500</x:v>
      </x:c>
      <x:c r="C27" s="54" t="n">
        <x:f>D19-B19</x:f>
        <x:v>52500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P27" s="55" t="str">
        <x:v>31 Aug</x:v>
      </x:c>
      <x:c r="Q27" s="58" t="n">
        <x:f>'Daywise detail'!I28</x:f>
        <x:v>138523.978592</x:v>
      </x:c>
      <x:c r="R27" s="58" t="n">
        <x:f>'Daywise detail'!P28</x:f>
        <x:v>141065.66340299998</x:v>
      </x:c>
      <x:c r="S27" s="58" t="n">
        <x:f>'Daywise detail'!W28</x:f>
        <x:v>153930.847674</x:v>
      </x:c>
    </x:row>
    <x:row r="28">
      <x:c r="P28" s="55" t="str">
        <x:v>01 Sept</x:v>
      </x:c>
      <x:c r="Q28" s="58" t="n">
        <x:f>'Daywise detail'!I29</x:f>
        <x:v>143123.978592</x:v>
      </x:c>
      <x:c r="R28" s="58" t="n">
        <x:f>'Daywise detail'!P29</x:f>
        <x:v>145665.66340299998</x:v>
      </x:c>
      <x:c r="S28" s="58" t="n">
        <x:f>'Daywise detail'!W29</x:f>
        <x:v>158530.847674</x:v>
      </x:c>
    </x:row>
    <x:row r="29">
      <x:c r="P29" s="55" t="str">
        <x:v>02 Sept</x:v>
      </x:c>
      <x:c r="Q29" s="58" t="n">
        <x:f>'Daywise detail'!I30</x:f>
        <x:v>155023.978592</x:v>
      </x:c>
      <x:c r="R29" s="58" t="n">
        <x:f>'Daywise detail'!P30</x:f>
        <x:v>157565.66340299998</x:v>
      </x:c>
      <x:c r="S29" s="58" t="n">
        <x:f>'Daywise detail'!W30</x:f>
        <x:v>170430.847674</x:v>
      </x:c>
    </x:row>
    <x:row r="30">
      <x:c r="P30" s="55" t="str">
        <x:v>03 Sept</x:v>
      </x:c>
      <x:c r="Q30" s="58" t="n">
        <x:f>'Daywise detail'!I31</x:f>
        <x:v>155023.978592</x:v>
      </x:c>
      <x:c r="R30" s="58" t="n">
        <x:f>'Daywise detail'!P31</x:f>
        <x:v>157565.66340299998</x:v>
      </x:c>
      <x:c r="S30" s="58" t="n">
        <x:f>'Daywise detail'!W31</x:f>
        <x:v>170430.847674</x:v>
      </x:c>
    </x:row>
    <x:row r="31">
      <x:c r="P31" s="55" t="str">
        <x:v>04 Sept</x:v>
      </x:c>
      <x:c r="Q31" s="58" t="n">
        <x:f>'Daywise detail'!I32</x:f>
        <x:v>159623.978592</x:v>
      </x:c>
      <x:c r="R31" s="58" t="n">
        <x:f>'Daywise detail'!P32</x:f>
        <x:v>162165.66340299998</x:v>
      </x:c>
      <x:c r="S31" s="58" t="n">
        <x:f>'Daywise detail'!W32</x:f>
        <x:v>175030.847674</x:v>
      </x:c>
    </x:row>
    <x:row r="32">
      <x:c r="P32" s="55" t="str">
        <x:v>07 Sept</x:v>
      </x:c>
      <x:c r="Q32" s="58" t="n">
        <x:f>'Daywise detail'!I33</x:f>
        <x:v>156120.682659</x:v>
      </x:c>
      <x:c r="R32" s="58" t="n">
        <x:f>'Daywise detail'!P33</x:f>
        <x:v>157412.36747</x:v>
      </x:c>
      <x:c r="S32" s="58" t="n">
        <x:f>'Daywise detail'!W33</x:f>
        <x:v>170315.67010599998</x:v>
      </x:c>
    </x:row>
    <x:row r="33">
      <x:c r="P33" s="55" t="str">
        <x:v>08 Sept</x:v>
      </x:c>
      <x:c r="Q33" s="58" t="n">
        <x:f>'Daywise detail'!I34</x:f>
        <x:v>156120.682659</x:v>
      </x:c>
      <x:c r="R33" s="58" t="n">
        <x:f>'Daywise detail'!P34</x:f>
        <x:v>157412.36747</x:v>
      </x:c>
      <x:c r="S33" s="58" t="n">
        <x:f>'Daywise detail'!W34</x:f>
        <x:v>170315.67010599998</x:v>
      </x:c>
    </x:row>
    <x:row r="34">
      <x:c r="P34" s="55" t="str">
        <x:v>09 Sept</x:v>
      </x:c>
      <x:c r="Q34" s="58" t="n">
        <x:f>'Daywise detail'!I35</x:f>
        <x:v>151490.21952500002</x:v>
      </x:c>
      <x:c r="R34" s="58" t="n">
        <x:f>'Daywise detail'!P35</x:f>
        <x:v>159446.10551999998</x:v>
      </x:c>
      <x:c r="S34" s="58" t="n">
        <x:f>'Daywise detail'!W35</x:f>
        <x:v>172349.40815599996</x:v>
      </x:c>
    </x:row>
    <x:row r="35">
      <x:c r="P35" s="55" t="str">
        <x:v>10 Sept</x:v>
      </x:c>
      <x:c r="Q35" s="58" t="n">
        <x:f>'Daywise detail'!I36</x:f>
        <x:v>155360.86754200002</x:v>
      </x:c>
      <x:c r="R35" s="58" t="n">
        <x:f>'Daywise detail'!P36</x:f>
        <x:v>163316.75353699998</x:v>
      </x:c>
      <x:c r="S35" s="58" t="n">
        <x:f>'Daywise detail'!W36</x:f>
        <x:v>176220.05617299996</x:v>
      </x:c>
    </x:row>
    <x:row r="36">
      <x:c r="P36" s="55" t="str">
        <x:v>11 Sept</x:v>
      </x:c>
      <x:c r="Q36" s="58" t="n">
        <x:f>'Daywise detail'!I37</x:f>
        <x:v>171097.75515500002</x:v>
      </x:c>
      <x:c r="R36" s="58" t="n">
        <x:f>'Daywise detail'!P37</x:f>
        <x:v>179053.64114999998</x:v>
      </x:c>
      <x:c r="S36" s="58" t="n">
        <x:f>'Daywise detail'!W37</x:f>
        <x:v>191956.94378599996</x:v>
      </x:c>
    </x:row>
    <x:row r="37">
      <x:c r="P37" s="55" t="str">
        <x:v>15 Sept</x:v>
      </x:c>
      <x:c r="Q37" s="58" t="n">
        <x:f>'Daywise detail'!I38</x:f>
        <x:v>197860.92219</x:v>
      </x:c>
      <x:c r="R37" s="58" t="n">
        <x:f>'Daywise detail'!P38</x:f>
        <x:v>205816.80818499997</x:v>
      </x:c>
      <x:c r="S37" s="58" t="n">
        <x:f>'Daywise detail'!W38</x:f>
        <x:v>218720.11082099995</x:v>
      </x:c>
    </x:row>
    <x:row r="38">
      <x:c r="P38" s="55" t="str">
        <x:v>16 Sept</x:v>
      </x:c>
      <x:c r="Q38" s="58" t="n">
        <x:f>'Daywise detail'!I39</x:f>
        <x:v>196084.615851</x:v>
      </x:c>
      <x:c r="R38" s="58" t="n">
        <x:f>'Daywise detail'!P39</x:f>
        <x:v>204040.50184599997</x:v>
      </x:c>
      <x:c r="S38" s="58" t="n">
        <x:f>'Daywise detail'!W39</x:f>
        <x:v>216943.80448199995</x:v>
      </x:c>
    </x:row>
    <x:row r="39">
      <x:c r="P39" s="55" t="str">
        <x:v>17 Sept</x:v>
      </x:c>
      <x:c r="Q39" s="58" t="n">
        <x:f>'Daywise detail'!I40</x:f>
        <x:v>190834.615851</x:v>
      </x:c>
      <x:c r="R39" s="58" t="n">
        <x:f>'Daywise detail'!P40</x:f>
        <x:v>197540.50184599997</x:v>
      </x:c>
      <x:c r="S39" s="58" t="n">
        <x:f>'Daywise detail'!W40</x:f>
        <x:v>211468.46156899995</x:v>
      </x:c>
    </x:row>
    <x:row r="40">
      <x:c r="P40" s="55" t="str">
        <x:v>18 Sept</x:v>
      </x:c>
      <x:c r="Q40" s="58" t="n">
        <x:f>'Daywise detail'!I41</x:f>
        <x:v>189116.010633</x:v>
      </x:c>
      <x:c r="R40" s="58" t="n">
        <x:f>'Daywise detail'!P41</x:f>
        <x:v>194571.89662799996</x:v>
      </x:c>
      <x:c r="S40" s="58" t="n">
        <x:f>'Daywise detail'!W41</x:f>
        <x:v>210899.75596099996</x:v>
      </x:c>
    </x:row>
    <x:row r="41">
      <x:c r="P41" s="55" t="str">
        <x:v>21 Sept</x:v>
      </x:c>
      <x:c r="Q41" s="58" t="n">
        <x:f>'Daywise detail'!I42</x:f>
        <x:v>189116.010633</x:v>
      </x:c>
      <x:c r="R41" s="58" t="n">
        <x:f>'Daywise detail'!P42</x:f>
        <x:v>194571.89662799996</x:v>
      </x:c>
      <x:c r="S41" s="58" t="n">
        <x:f>'Daywise detail'!W42</x:f>
        <x:v>210899.75596099996</x:v>
      </x:c>
    </x:row>
    <x:row r="42">
      <x:c r="P42" s="55" t="str">
        <x:v>22 Sept</x:v>
      </x:c>
      <x:c r="Q42" s="58" t="n">
        <x:f>'Daywise detail'!I43</x:f>
        <x:v>189116.010633</x:v>
      </x:c>
      <x:c r="R42" s="58" t="n">
        <x:f>'Daywise detail'!P43</x:f>
        <x:v>194571.89662799996</x:v>
      </x:c>
      <x:c r="S42" s="58" t="n">
        <x:f>'Daywise detail'!W43</x:f>
        <x:v>210899.75596099996</x:v>
      </x:c>
    </x:row>
    <x:row r="43">
      <x:c r="P43" s="55" t="str">
        <x:v>23 Sept</x:v>
      </x:c>
      <x:c r="Q43" s="58" t="n">
        <x:f>'Daywise detail'!I44</x:f>
        <x:v>189116.010633</x:v>
      </x:c>
      <x:c r="R43" s="58" t="n">
        <x:f>'Daywise detail'!P44</x:f>
        <x:v>194571.89662799996</x:v>
      </x:c>
      <x:c r="S43" s="58" t="n">
        <x:f>'Daywise detail'!W44</x:f>
        <x:v>210899.75596099996</x:v>
      </x:c>
    </x:row>
    <x:row r="44">
      <x:c r="P44" s="55" t="str">
        <x:v>24 Sept</x:v>
      </x:c>
      <x:c r="Q44" s="58" t="n">
        <x:f>'Daywise detail'!I45</x:f>
        <x:v>196530.167399</x:v>
      </x:c>
      <x:c r="R44" s="58" t="n">
        <x:f>'Daywise detail'!P45</x:f>
        <x:v>201986.05339399996</x:v>
      </x:c>
      <x:c r="S44" s="58" t="n">
        <x:f>'Daywise detail'!W45</x:f>
        <x:v>218313.91272699996</x:v>
      </x:c>
    </x:row>
    <x:row r="45">
      <x:c r="P45" s="55" t="str">
        <x:v>25 Sept</x:v>
      </x:c>
      <x:c r="Q45" s="58" t="n">
        <x:f>'Daywise detail'!I46</x:f>
        <x:v>210680.167399</x:v>
      </x:c>
      <x:c r="R45" s="58" t="n">
        <x:f>'Daywise detail'!P46</x:f>
        <x:v>216136.05339399996</x:v>
      </x:c>
      <x:c r="S45" s="58" t="n">
        <x:f>'Daywise detail'!W46</x:f>
        <x:v>232463.91272699996</x:v>
      </x:c>
    </x:row>
    <x:row r="46">
      <x:c r="P46" s="55" t="str">
        <x:v>28 Sept</x:v>
      </x:c>
      <x:c r="Q46" s="58" t="n">
        <x:f>'Daywise detail'!I47</x:f>
        <x:v>200151.142054</x:v>
      </x:c>
      <x:c r="R46" s="58" t="n">
        <x:f>'Daywise detail'!P47</x:f>
        <x:v>203136.05339399996</x:v>
      </x:c>
      <x:c r="S46" s="58" t="n">
        <x:f>'Daywise detail'!W47</x:f>
        <x:v>223504.85418599995</x:v>
      </x:c>
    </x:row>
    <x:row r="47">
      <x:c r="P47" s="55" t="str">
        <x:v>29 Sept</x:v>
      </x:c>
      <x:c r="Q47" s="58" t="n">
        <x:f>'Daywise detail'!I48</x:f>
        <x:v>199009.005983</x:v>
      </x:c>
      <x:c r="R47" s="58" t="n">
        <x:f>'Daywise detail'!P48</x:f>
        <x:v>201993.91732299997</x:v>
      </x:c>
      <x:c r="S47" s="58" t="n">
        <x:f>'Daywise detail'!W48</x:f>
        <x:v>222362.71811499997</x:v>
      </x:c>
    </x:row>
    <x:row r="48">
      <x:c r="P48" s="55" t="str">
        <x:v>30 Sept</x:v>
      </x:c>
      <x:c r="Q48" s="58" t="n">
        <x:f>'Daywise detail'!I49</x:f>
        <x:v>220659.005983</x:v>
      </x:c>
      <x:c r="R48" s="58" t="n">
        <x:f>'Daywise detail'!P49</x:f>
        <x:v>223643.91732299997</x:v>
      </x:c>
      <x:c r="S48" s="58" t="n">
        <x:f>'Daywise detail'!W49</x:f>
        <x:v>244012.71811499997</x:v>
      </x:c>
    </x:row>
  </x:sheetData>
  <x:conditionalFormatting sqref="B24:C25">
    <x:cfRule type="cellIs" dxfId="8" priority="1" operator="greaterThan">
      <x:formula>0</x:formula>
    </x:cfRule>
    <x:cfRule type="cellIs" dxfId="9" priority="2" operator="lessThan">
      <x:formula>0</x:formula>
    </x:cfRule>
  </x:conditionalFormatting>
  <x:conditionalFormatting sqref="B26:C27">
    <x:cfRule type="cellIs" dxfId="10" priority="3" operator="greaterThan">
      <x:formula>0</x:formula>
    </x:cfRule>
    <x:cfRule type="cellIs" dxfId="11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4ad49d1fa7a4ffb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8" hidden="0" customWidth="1"/>
    <x:col min="5" max="5" width="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8" hidden="0" customWidth="1"/>
    <x:col min="12" max="12" width="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8" hidden="0" customWidth="1"/>
    <x:col min="19" max="19" width="8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2" ht="24" customHeight="1">
      <x:c r="A2" s="2" t="str">
        <x:v>V13-v10-G-2 daywise SL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0" customHeight="1">
      <x:c r="A3" s="3" t="str">
        <x:v>Complete sessions: 29-Jul-2026 to 30-Sep-2026. October 1 is excluded because its final strategy scan slot is incomplete.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4" customHeight="1">
      <x:c r="A5" s="12" t="str">
        <x:v>Session</x:v>
      </x:c>
      <x:c r="B5" s="13"/>
      <x:c r="C5" s="13"/>
      <x:c r="D5" s="13" t="str">
        <x:v>1.00% SL</x:v>
      </x:c>
      <x:c r="E5" s="13"/>
      <x:c r="F5" s="13"/>
      <x:c r="G5" s="13"/>
      <x:c r="H5" s="13"/>
      <x:c r="I5" s="13"/>
      <x:c r="J5" s="13"/>
      <x:c r="K5" s="13" t="str">
        <x:v>1.25% SL</x:v>
      </x:c>
      <x:c r="L5" s="13"/>
      <x:c r="M5" s="13"/>
      <x:c r="N5" s="13"/>
      <x:c r="O5" s="13"/>
      <x:c r="P5" s="13"/>
      <x:c r="Q5" s="13"/>
      <x:c r="R5" s="13" t="str">
        <x:v>2.75% SL</x:v>
      </x:c>
      <x:c r="S5" s="13"/>
      <x:c r="T5" s="13"/>
      <x:c r="U5" s="13"/>
      <x:c r="V5" s="13"/>
      <x:c r="W5" s="13"/>
      <x:c r="X5" s="13"/>
      <x:c r="Y5" s="13" t="str">
        <x:v>Difference versus 1.00% SL</x:v>
      </x:c>
      <x:c r="Z5" s="13"/>
      <x:c r="AA5" s="13"/>
      <x:c r="AB5" s="14"/>
    </x:row>
    <x:row r="6" ht="24" customHeight="1">
      <x:c r="A6" s="29" t="str">
        <x:v>Date</x:v>
      </x:c>
      <x:c r="B6" s="29" t="str">
        <x:v>Selected</x:v>
      </x:c>
      <x:c r="C6" s="29" t="str">
        <x:v>Trades</x:v>
      </x:c>
      <x:c r="D6" s="29" t="str">
        <x:v>Wins</x:v>
      </x:c>
      <x:c r="E6" s="29" t="str">
        <x:v>Losses</x:v>
      </x:c>
      <x:c r="F6" s="29" t="str">
        <x:v>Gross P&amp;L (₹)</x:v>
      </x:c>
      <x:c r="G6" s="29" t="str">
        <x:v>Costs (₹)</x:v>
      </x:c>
      <x:c r="H6" s="29" t="str">
        <x:v>Net P&amp;L (₹)</x:v>
      </x:c>
      <x:c r="I6" s="29" t="str">
        <x:v>1.00% cumulative (₹)</x:v>
      </x:c>
      <x:c r="J6" s="29" t="str">
        <x:v>Drawdown (₹)</x:v>
      </x:c>
      <x:c r="K6" s="30" t="str">
        <x:v>Wins</x:v>
      </x:c>
      <x:c r="L6" s="30" t="str">
        <x:v>Losses</x:v>
      </x:c>
      <x:c r="M6" s="30" t="str">
        <x:v>Gross P&amp;L (₹)</x:v>
      </x:c>
      <x:c r="N6" s="30" t="str">
        <x:v>Costs (₹)</x:v>
      </x:c>
      <x:c r="O6" s="30" t="str">
        <x:v>Net P&amp;L (₹)</x:v>
      </x:c>
      <x:c r="P6" s="30" t="str">
        <x:v>1.25% cumulative (₹)</x:v>
      </x:c>
      <x:c r="Q6" s="30" t="str">
        <x:v>Drawdown (₹)</x:v>
      </x:c>
      <x:c r="R6" s="31" t="str">
        <x:v>Wins</x:v>
      </x:c>
      <x:c r="S6" s="31" t="str">
        <x:v>Losses</x:v>
      </x:c>
      <x:c r="T6" s="31" t="str">
        <x:v>Gross P&amp;L (₹)</x:v>
      </x:c>
      <x:c r="U6" s="31" t="str">
        <x:v>Costs (₹)</x:v>
      </x:c>
      <x:c r="V6" s="31" t="str">
        <x:v>Net P&amp;L (₹)</x:v>
      </x:c>
      <x:c r="W6" s="31" t="str">
        <x:v>2.75% cumulative (₹)</x:v>
      </x:c>
      <x:c r="X6" s="31" t="str">
        <x:v>Drawdown (₹)</x:v>
      </x:c>
      <x:c r="Y6" s="32" t="str">
        <x:v>1.25% daily delta (₹)</x:v>
      </x:c>
      <x:c r="Z6" s="32" t="str">
        <x:v>1.25% cumulative delta (₹)</x:v>
      </x:c>
      <x:c r="AA6" s="32" t="str">
        <x:v>2.75% daily delta (₹)</x:v>
      </x:c>
      <x:c r="AB6" s="32" t="str">
        <x:v>2.75% cumulative delta (₹)</x:v>
      </x:c>
    </x:row>
    <x:row r="7">
      <x:c r="A7" s="35" t="n">
        <x:v>46232</x:v>
      </x:c>
      <x:c r="B7" s="37" t="n">
        <x:v>3</x:v>
      </x:c>
      <x:c r="C7" s="37" t="n">
        <x:v>2</x:v>
      </x:c>
      <x:c r="D7" s="37" t="n">
        <x:v>2</x:v>
      </x:c>
      <x:c r="E7" s="37" t="n">
        <x:v>0</x:v>
      </x:c>
      <x:c r="F7" s="39" t="n">
        <x:v>16593.152341</x:v>
      </x:c>
      <x:c r="G7" s="39" t="n">
        <x:v>500</x:v>
      </x:c>
      <x:c r="H7" s="39" t="n">
        <x:v>16093.152341</x:v>
      </x:c>
      <x:c r="I7" s="39" t="n">
        <x:f>SUM($H$7:H7)</x:f>
        <x:v>16093.152341</x:v>
      </x:c>
      <x:c r="J7" s="39" t="n">
        <x:f>MAX(0,MAX($I$7:I7))-I7</x:f>
        <x:v>0</x:v>
      </x:c>
      <x:c r="K7" s="37" t="n">
        <x:v>2</x:v>
      </x:c>
      <x:c r="L7" s="37" t="n">
        <x:v>0</x:v>
      </x:c>
      <x:c r="M7" s="39" t="n">
        <x:v>16593.152341</x:v>
      </x:c>
      <x:c r="N7" s="39" t="n">
        <x:v>500</x:v>
      </x:c>
      <x:c r="O7" s="39" t="n">
        <x:v>16093.152341</x:v>
      </x:c>
      <x:c r="P7" s="39" t="n">
        <x:f>SUM($O$7:O7)</x:f>
        <x:v>16093.152341</x:v>
      </x:c>
      <x:c r="Q7" s="39" t="n">
        <x:f>MAX(0,MAX($P$7:P7))-P7</x:f>
        <x:v>0</x:v>
      </x:c>
      <x:c r="R7" s="37" t="n">
        <x:v>2</x:v>
      </x:c>
      <x:c r="S7" s="37" t="n">
        <x:v>0</x:v>
      </x:c>
      <x:c r="T7" s="39" t="n">
        <x:v>16593.152341</x:v>
      </x:c>
      <x:c r="U7" s="39" t="n">
        <x:v>500</x:v>
      </x:c>
      <x:c r="V7" s="39" t="n">
        <x:v>16093.152341</x:v>
      </x:c>
      <x:c r="W7" s="39" t="n">
        <x:f>SUM($V$7:V7)</x:f>
        <x:v>16093.152341</x:v>
      </x:c>
      <x:c r="X7" s="39" t="n">
        <x:f>MAX(0,MAX($W$7:W7))-W7</x:f>
        <x:v>0</x:v>
      </x:c>
      <x:c r="Y7" s="39" t="n">
        <x:f>O7-H7</x:f>
        <x:v>0</x:v>
      </x:c>
      <x:c r="Z7" s="39" t="n">
        <x:f>P7-I7</x:f>
        <x:v>0</x:v>
      </x:c>
      <x:c r="AA7" s="39" t="n">
        <x:f>V7-H7</x:f>
        <x:v>0</x:v>
      </x:c>
      <x:c r="AB7" s="39" t="n">
        <x:f>W7-I7</x:f>
        <x:v>0</x:v>
      </x:c>
    </x:row>
    <x:row r="8">
      <x:c r="A8" s="36" t="n">
        <x:v>46233</x:v>
      </x:c>
      <x:c r="B8" s="38" t="n">
        <x:v>0</x:v>
      </x:c>
      <x:c r="C8" s="38" t="n">
        <x:v>0</x:v>
      </x:c>
      <x:c r="D8" s="38" t="n">
        <x:v>0</x:v>
      </x:c>
      <x:c r="E8" s="38" t="n">
        <x:v>0</x:v>
      </x:c>
      <x:c r="F8" s="40" t="n">
        <x:v>0</x:v>
      </x:c>
      <x:c r="G8" s="40" t="n">
        <x:v>0</x:v>
      </x:c>
      <x:c r="H8" s="40" t="n">
        <x:v>0</x:v>
      </x:c>
      <x:c r="I8" s="40" t="n">
        <x:f>SUM($H$7:H8)</x:f>
        <x:v>16093.152341</x:v>
      </x:c>
      <x:c r="J8" s="40" t="n">
        <x:f>MAX(0,MAX($I$7:I8))-I8</x:f>
        <x:v>0</x:v>
      </x:c>
      <x:c r="K8" s="38" t="n">
        <x:v>0</x:v>
      </x:c>
      <x:c r="L8" s="38" t="n">
        <x:v>0</x:v>
      </x:c>
      <x:c r="M8" s="40" t="n">
        <x:v>0</x:v>
      </x:c>
      <x:c r="N8" s="40" t="n">
        <x:v>0</x:v>
      </x:c>
      <x:c r="O8" s="40" t="n">
        <x:v>0</x:v>
      </x:c>
      <x:c r="P8" s="40" t="n">
        <x:f>SUM($O$7:O8)</x:f>
        <x:v>16093.152341</x:v>
      </x:c>
      <x:c r="Q8" s="40" t="n">
        <x:f>MAX(0,MAX($P$7:P8))-P8</x:f>
        <x:v>0</x:v>
      </x:c>
      <x:c r="R8" s="38" t="n">
        <x:v>0</x:v>
      </x:c>
      <x:c r="S8" s="38" t="n">
        <x:v>0</x:v>
      </x:c>
      <x:c r="T8" s="40" t="n">
        <x:v>0</x:v>
      </x:c>
      <x:c r="U8" s="40" t="n">
        <x:v>0</x:v>
      </x:c>
      <x:c r="V8" s="40" t="n">
        <x:v>0</x:v>
      </x:c>
      <x:c r="W8" s="40" t="n">
        <x:f>SUM($V$7:V8)</x:f>
        <x:v>16093.152341</x:v>
      </x:c>
      <x:c r="X8" s="40" t="n">
        <x:f>MAX(0,MAX($W$7:W8))-W8</x:f>
        <x:v>0</x:v>
      </x:c>
      <x:c r="Y8" s="40" t="n">
        <x:f>O8-H8</x:f>
        <x:v>0</x:v>
      </x:c>
      <x:c r="Z8" s="40" t="n">
        <x:f>P8-I8</x:f>
        <x:v>0</x:v>
      </x:c>
      <x:c r="AA8" s="40" t="n">
        <x:f>V8-H8</x:f>
        <x:v>0</x:v>
      </x:c>
      <x:c r="AB8" s="40" t="n">
        <x:f>W8-I8</x:f>
        <x:v>0</x:v>
      </x:c>
    </x:row>
    <x:row r="9">
      <x:c r="A9" s="35" t="n">
        <x:v>46234</x:v>
      </x:c>
      <x:c r="B9" s="37" t="n">
        <x:v>2</x:v>
      </x:c>
      <x:c r="C9" s="37" t="n">
        <x:v>2</x:v>
      </x:c>
      <x:c r="D9" s="37" t="n">
        <x:v>2</x:v>
      </x:c>
      <x:c r="E9" s="37" t="n">
        <x:v>0</x:v>
      </x:c>
      <x:c r="F9" s="39" t="n">
        <x:v>10650</x:v>
      </x:c>
      <x:c r="G9" s="39" t="n">
        <x:v>500</x:v>
      </x:c>
      <x:c r="H9" s="39" t="n">
        <x:v>10150</x:v>
      </x:c>
      <x:c r="I9" s="39" t="n">
        <x:f>SUM($H$7:H9)</x:f>
        <x:v>26243.152341</x:v>
      </x:c>
      <x:c r="J9" s="39" t="n">
        <x:f>MAX(0,MAX($I$7:I9))-I9</x:f>
        <x:v>0</x:v>
      </x:c>
      <x:c r="K9" s="37" t="n">
        <x:v>2</x:v>
      </x:c>
      <x:c r="L9" s="37" t="n">
        <x:v>0</x:v>
      </x:c>
      <x:c r="M9" s="39" t="n">
        <x:v>10650</x:v>
      </x:c>
      <x:c r="N9" s="39" t="n">
        <x:v>500</x:v>
      </x:c>
      <x:c r="O9" s="39" t="n">
        <x:v>10150</x:v>
      </x:c>
      <x:c r="P9" s="39" t="n">
        <x:f>SUM($O$7:O9)</x:f>
        <x:v>26243.152341</x:v>
      </x:c>
      <x:c r="Q9" s="39" t="n">
        <x:f>MAX(0,MAX($P$7:P9))-P9</x:f>
        <x:v>0</x:v>
      </x:c>
      <x:c r="R9" s="37" t="n">
        <x:v>2</x:v>
      </x:c>
      <x:c r="S9" s="37" t="n">
        <x:v>0</x:v>
      </x:c>
      <x:c r="T9" s="39" t="n">
        <x:v>10650</x:v>
      </x:c>
      <x:c r="U9" s="39" t="n">
        <x:v>500</x:v>
      </x:c>
      <x:c r="V9" s="39" t="n">
        <x:v>10150</x:v>
      </x:c>
      <x:c r="W9" s="39" t="n">
        <x:f>SUM($V$7:V9)</x:f>
        <x:v>26243.152341</x:v>
      </x:c>
      <x:c r="X9" s="39" t="n">
        <x:f>MAX(0,MAX($W$7:W9))-W9</x:f>
        <x:v>0</x:v>
      </x:c>
      <x:c r="Y9" s="39" t="n">
        <x:f>O9-H9</x:f>
        <x:v>0</x:v>
      </x:c>
      <x:c r="Z9" s="39" t="n">
        <x:f>P9-I9</x:f>
        <x:v>0</x:v>
      </x:c>
      <x:c r="AA9" s="39" t="n">
        <x:f>V9-H9</x:f>
        <x:v>0</x:v>
      </x:c>
      <x:c r="AB9" s="39" t="n">
        <x:f>W9-I9</x:f>
        <x:v>0</x:v>
      </x:c>
    </x:row>
    <x:row r="10">
      <x:c r="A10" s="36" t="n">
        <x:v>46237</x:v>
      </x:c>
      <x:c r="B10" s="38" t="n">
        <x:v>4</x:v>
      </x:c>
      <x:c r="C10" s="38" t="n">
        <x:v>4</x:v>
      </x:c>
      <x:c r="D10" s="38" t="n">
        <x:v>2</x:v>
      </x:c>
      <x:c r="E10" s="38" t="n">
        <x:v>2</x:v>
      </x:c>
      <x:c r="F10" s="40" t="n">
        <x:v>8650</x:v>
      </x:c>
      <x:c r="G10" s="40" t="n">
        <x:v>1000</x:v>
      </x:c>
      <x:c r="H10" s="40" t="n">
        <x:v>7650</x:v>
      </x:c>
      <x:c r="I10" s="40" t="n">
        <x:f>SUM($H$7:H10)</x:f>
        <x:v>33893.152341</x:v>
      </x:c>
      <x:c r="J10" s="40" t="n">
        <x:f>MAX(0,MAX($I$7:I10))-I10</x:f>
        <x:v>0</x:v>
      </x:c>
      <x:c r="K10" s="38" t="n">
        <x:v>2</x:v>
      </x:c>
      <x:c r="L10" s="38" t="n">
        <x:v>2</x:v>
      </x:c>
      <x:c r="M10" s="40" t="n">
        <x:v>6150</x:v>
      </x:c>
      <x:c r="N10" s="40" t="n">
        <x:v>1000</x:v>
      </x:c>
      <x:c r="O10" s="40" t="n">
        <x:v>5150</x:v>
      </x:c>
      <x:c r="P10" s="40" t="n">
        <x:f>SUM($O$7:O10)</x:f>
        <x:v>31393.152341</x:v>
      </x:c>
      <x:c r="Q10" s="40" t="n">
        <x:f>MAX(0,MAX($P$7:P10))-P10</x:f>
        <x:v>0</x:v>
      </x:c>
      <x:c r="R10" s="38" t="n">
        <x:v>3</x:v>
      </x:c>
      <x:c r="S10" s="38" t="n">
        <x:v>1</x:v>
      </x:c>
      <x:c r="T10" s="40" t="n">
        <x:v>18053.811877</x:v>
      </x:c>
      <x:c r="U10" s="40" t="n">
        <x:v>1000</x:v>
      </x:c>
      <x:c r="V10" s="40" t="n">
        <x:v>17053.811877</x:v>
      </x:c>
      <x:c r="W10" s="40" t="n">
        <x:f>SUM($V$7:V10)</x:f>
        <x:v>43296.964218</x:v>
      </x:c>
      <x:c r="X10" s="40" t="n">
        <x:f>MAX(0,MAX($W$7:W10))-W10</x:f>
        <x:v>0</x:v>
      </x:c>
      <x:c r="Y10" s="40" t="n">
        <x:f>O10-H10</x:f>
        <x:v>-2500</x:v>
      </x:c>
      <x:c r="Z10" s="40" t="n">
        <x:f>P10-I10</x:f>
        <x:v>-2500</x:v>
      </x:c>
      <x:c r="AA10" s="40" t="n">
        <x:f>V10-H10</x:f>
        <x:v>9403.811877</x:v>
      </x:c>
      <x:c r="AB10" s="40" t="n">
        <x:f>W10-I10</x:f>
        <x:v>9403.811877</x:v>
      </x:c>
    </x:row>
    <x:row r="11">
      <x:c r="A11" s="35" t="n">
        <x:v>46238</x:v>
      </x:c>
      <x:c r="B11" s="37" t="n">
        <x:v>3</x:v>
      </x:c>
      <x:c r="C11" s="37" t="n">
        <x:v>3</x:v>
      </x:c>
      <x:c r="D11" s="37" t="n">
        <x:v>2</x:v>
      </x:c>
      <x:c r="E11" s="37" t="n">
        <x:v>1</x:v>
      </x:c>
      <x:c r="F11" s="39" t="n">
        <x:v>9958.272091</x:v>
      </x:c>
      <x:c r="G11" s="39" t="n">
        <x:v>750</x:v>
      </x:c>
      <x:c r="H11" s="39" t="n">
        <x:v>9208.272091</x:v>
      </x:c>
      <x:c r="I11" s="39" t="n">
        <x:f>SUM($H$7:H11)</x:f>
        <x:v>43101.424432</x:v>
      </x:c>
      <x:c r="J11" s="39" t="n">
        <x:f>MAX(0,MAX($I$7:I11))-I11</x:f>
        <x:v>0</x:v>
      </x:c>
      <x:c r="K11" s="37" t="n">
        <x:v>2</x:v>
      </x:c>
      <x:c r="L11" s="37" t="n">
        <x:v>1</x:v>
      </x:c>
      <x:c r="M11" s="39" t="n">
        <x:v>8708.272091</x:v>
      </x:c>
      <x:c r="N11" s="39" t="n">
        <x:v>750</x:v>
      </x:c>
      <x:c r="O11" s="39" t="n">
        <x:v>7958.272091</x:v>
      </x:c>
      <x:c r="P11" s="39" t="n">
        <x:f>SUM($O$7:O11)</x:f>
        <x:v>39351.424432</x:v>
      </x:c>
      <x:c r="Q11" s="39" t="n">
        <x:f>MAX(0,MAX($P$7:P11))-P11</x:f>
        <x:v>0</x:v>
      </x:c>
      <x:c r="R11" s="37" t="n">
        <x:v>2</x:v>
      </x:c>
      <x:c r="S11" s="37" t="n">
        <x:v>1</x:v>
      </x:c>
      <x:c r="T11" s="39" t="n">
        <x:v>10363.50502</x:v>
      </x:c>
      <x:c r="U11" s="39" t="n">
        <x:v>750</x:v>
      </x:c>
      <x:c r="V11" s="39" t="n">
        <x:v>9613.50502</x:v>
      </x:c>
      <x:c r="W11" s="39" t="n">
        <x:f>SUM($V$7:V11)</x:f>
        <x:v>52910.469238000005</x:v>
      </x:c>
      <x:c r="X11" s="39" t="n">
        <x:f>MAX(0,MAX($W$7:W11))-W11</x:f>
        <x:v>0</x:v>
      </x:c>
      <x:c r="Y11" s="39" t="n">
        <x:f>O11-H11</x:f>
        <x:v>-1250.000000000001</x:v>
      </x:c>
      <x:c r="Z11" s="39" t="n">
        <x:f>P11-I11</x:f>
        <x:v>-3750</x:v>
      </x:c>
      <x:c r="AA11" s="39" t="n">
        <x:f>V11-H11</x:f>
        <x:v>405.2329289999998</x:v>
      </x:c>
      <x:c r="AB11" s="39" t="n">
        <x:f>W11-I11</x:f>
        <x:v>9809.044806000005</x:v>
      </x:c>
    </x:row>
    <x:row r="12">
      <x:c r="A12" s="36" t="n">
        <x:v>46239</x:v>
      </x:c>
      <x:c r="B12" s="38" t="n">
        <x:v>0</x:v>
      </x:c>
      <x:c r="C12" s="38" t="n">
        <x:v>0</x:v>
      </x:c>
      <x:c r="D12" s="38" t="n">
        <x:v>0</x:v>
      </x:c>
      <x:c r="E12" s="38" t="n">
        <x:v>0</x:v>
      </x:c>
      <x:c r="F12" s="40" t="n">
        <x:v>0</x:v>
      </x:c>
      <x:c r="G12" s="40" t="n">
        <x:v>0</x:v>
      </x:c>
      <x:c r="H12" s="40" t="n">
        <x:v>0</x:v>
      </x:c>
      <x:c r="I12" s="40" t="n">
        <x:f>SUM($H$7:H12)</x:f>
        <x:v>43101.424432</x:v>
      </x:c>
      <x:c r="J12" s="40" t="n">
        <x:f>MAX(0,MAX($I$7:I12))-I12</x:f>
        <x:v>0</x:v>
      </x:c>
      <x:c r="K12" s="38" t="n">
        <x:v>0</x:v>
      </x:c>
      <x:c r="L12" s="38" t="n">
        <x:v>0</x:v>
      </x:c>
      <x:c r="M12" s="40" t="n">
        <x:v>0</x:v>
      </x:c>
      <x:c r="N12" s="40" t="n">
        <x:v>0</x:v>
      </x:c>
      <x:c r="O12" s="40" t="n">
        <x:v>0</x:v>
      </x:c>
      <x:c r="P12" s="40" t="n">
        <x:f>SUM($O$7:O12)</x:f>
        <x:v>39351.424432</x:v>
      </x:c>
      <x:c r="Q12" s="40" t="n">
        <x:f>MAX(0,MAX($P$7:P12))-P12</x:f>
        <x:v>0</x:v>
      </x:c>
      <x:c r="R12" s="38" t="n">
        <x:v>0</x:v>
      </x:c>
      <x:c r="S12" s="38" t="n">
        <x:v>0</x:v>
      </x:c>
      <x:c r="T12" s="40" t="n">
        <x:v>0</x:v>
      </x:c>
      <x:c r="U12" s="40" t="n">
        <x:v>0</x:v>
      </x:c>
      <x:c r="V12" s="40" t="n">
        <x:v>0</x:v>
      </x:c>
      <x:c r="W12" s="40" t="n">
        <x:f>SUM($V$7:V12)</x:f>
        <x:v>52910.469238000005</x:v>
      </x:c>
      <x:c r="X12" s="40" t="n">
        <x:f>MAX(0,MAX($W$7:W12))-W12</x:f>
        <x:v>0</x:v>
      </x:c>
      <x:c r="Y12" s="40" t="n">
        <x:f>O12-H12</x:f>
        <x:v>0</x:v>
      </x:c>
      <x:c r="Z12" s="40" t="n">
        <x:f>P12-I12</x:f>
        <x:v>-3750</x:v>
      </x:c>
      <x:c r="AA12" s="40" t="n">
        <x:f>V12-H12</x:f>
        <x:v>0</x:v>
      </x:c>
      <x:c r="AB12" s="40" t="n">
        <x:f>W12-I12</x:f>
        <x:v>9809.044806000005</x:v>
      </x:c>
    </x:row>
    <x:row r="13">
      <x:c r="A13" s="35" t="n">
        <x:v>46240</x:v>
      </x:c>
      <x:c r="B13" s="37" t="n">
        <x:v>3</x:v>
      </x:c>
      <x:c r="C13" s="37" t="n">
        <x:v>3</x:v>
      </x:c>
      <x:c r="D13" s="37" t="n">
        <x:v>2</x:v>
      </x:c>
      <x:c r="E13" s="37" t="n">
        <x:v>1</x:v>
      </x:c>
      <x:c r="F13" s="39" t="n">
        <x:v>13280.605529</x:v>
      </x:c>
      <x:c r="G13" s="39" t="n">
        <x:v>750</x:v>
      </x:c>
      <x:c r="H13" s="39" t="n">
        <x:v>12530.605529</x:v>
      </x:c>
      <x:c r="I13" s="39" t="n">
        <x:f>SUM($H$7:H13)</x:f>
        <x:v>55632.029961</x:v>
      </x:c>
      <x:c r="J13" s="39" t="n">
        <x:f>MAX(0,MAX($I$7:I13))-I13</x:f>
        <x:v>0</x:v>
      </x:c>
      <x:c r="K13" s="37" t="n">
        <x:v>2</x:v>
      </x:c>
      <x:c r="L13" s="37" t="n">
        <x:v>1</x:v>
      </x:c>
      <x:c r="M13" s="39" t="n">
        <x:v>13280.605529</x:v>
      </x:c>
      <x:c r="N13" s="39" t="n">
        <x:v>750</x:v>
      </x:c>
      <x:c r="O13" s="39" t="n">
        <x:v>12530.605529</x:v>
      </x:c>
      <x:c r="P13" s="39" t="n">
        <x:f>SUM($O$7:O13)</x:f>
        <x:v>51882.029961</x:v>
      </x:c>
      <x:c r="Q13" s="39" t="n">
        <x:f>MAX(0,MAX($P$7:P13))-P13</x:f>
        <x:v>0</x:v>
      </x:c>
      <x:c r="R13" s="37" t="n">
        <x:v>2</x:v>
      </x:c>
      <x:c r="S13" s="37" t="n">
        <x:v>1</x:v>
      </x:c>
      <x:c r="T13" s="39" t="n">
        <x:v>13280.605529</x:v>
      </x:c>
      <x:c r="U13" s="39" t="n">
        <x:v>750</x:v>
      </x:c>
      <x:c r="V13" s="39" t="n">
        <x:v>12530.605529</x:v>
      </x:c>
      <x:c r="W13" s="39" t="n">
        <x:f>SUM($V$7:V13)</x:f>
        <x:v>65441.074767000006</x:v>
      </x:c>
      <x:c r="X13" s="39" t="n">
        <x:f>MAX(0,MAX($W$7:W13))-W13</x:f>
        <x:v>0</x:v>
      </x:c>
      <x:c r="Y13" s="39" t="n">
        <x:f>O13-H13</x:f>
        <x:v>0</x:v>
      </x:c>
      <x:c r="Z13" s="39" t="n">
        <x:f>P13-I13</x:f>
        <x:v>-3750</x:v>
      </x:c>
      <x:c r="AA13" s="39" t="n">
        <x:f>V13-H13</x:f>
        <x:v>0</x:v>
      </x:c>
      <x:c r="AB13" s="39" t="n">
        <x:f>W13-I13</x:f>
        <x:v>9809.044806000005</x:v>
      </x:c>
    </x:row>
    <x:row r="14">
      <x:c r="A14" s="36" t="n">
        <x:v>46241</x:v>
      </x:c>
      <x:c r="B14" s="38" t="n">
        <x:v>0</x:v>
      </x:c>
      <x:c r="C14" s="38" t="n">
        <x:v>0</x:v>
      </x:c>
      <x:c r="D14" s="38" t="n">
        <x:v>0</x:v>
      </x:c>
      <x:c r="E14" s="38" t="n">
        <x:v>0</x:v>
      </x:c>
      <x:c r="F14" s="40" t="n">
        <x:v>0</x:v>
      </x:c>
      <x:c r="G14" s="40" t="n">
        <x:v>0</x:v>
      </x:c>
      <x:c r="H14" s="40" t="n">
        <x:v>0</x:v>
      </x:c>
      <x:c r="I14" s="40" t="n">
        <x:f>SUM($H$7:H14)</x:f>
        <x:v>55632.029961</x:v>
      </x:c>
      <x:c r="J14" s="40" t="n">
        <x:f>MAX(0,MAX($I$7:I14))-I14</x:f>
        <x:v>0</x:v>
      </x:c>
      <x:c r="K14" s="38" t="n">
        <x:v>0</x:v>
      </x:c>
      <x:c r="L14" s="38" t="n">
        <x:v>0</x:v>
      </x:c>
      <x:c r="M14" s="40" t="n">
        <x:v>0</x:v>
      </x:c>
      <x:c r="N14" s="40" t="n">
        <x:v>0</x:v>
      </x:c>
      <x:c r="O14" s="40" t="n">
        <x:v>0</x:v>
      </x:c>
      <x:c r="P14" s="40" t="n">
        <x:f>SUM($O$7:O14)</x:f>
        <x:v>51882.029961</x:v>
      </x:c>
      <x:c r="Q14" s="40" t="n">
        <x:f>MAX(0,MAX($P$7:P14))-P14</x:f>
        <x:v>0</x:v>
      </x:c>
      <x:c r="R14" s="38" t="n">
        <x:v>0</x:v>
      </x:c>
      <x:c r="S14" s="38" t="n">
        <x:v>0</x:v>
      </x:c>
      <x:c r="T14" s="40" t="n">
        <x:v>0</x:v>
      </x:c>
      <x:c r="U14" s="40" t="n">
        <x:v>0</x:v>
      </x:c>
      <x:c r="V14" s="40" t="n">
        <x:v>0</x:v>
      </x:c>
      <x:c r="W14" s="40" t="n">
        <x:f>SUM($V$7:V14)</x:f>
        <x:v>65441.074767000006</x:v>
      </x:c>
      <x:c r="X14" s="40" t="n">
        <x:f>MAX(0,MAX($W$7:W14))-W14</x:f>
        <x:v>0</x:v>
      </x:c>
      <x:c r="Y14" s="40" t="n">
        <x:f>O14-H14</x:f>
        <x:v>0</x:v>
      </x:c>
      <x:c r="Z14" s="40" t="n">
        <x:f>P14-I14</x:f>
        <x:v>-3750</x:v>
      </x:c>
      <x:c r="AA14" s="40" t="n">
        <x:f>V14-H14</x:f>
        <x:v>0</x:v>
      </x:c>
      <x:c r="AB14" s="40" t="n">
        <x:f>W14-I14</x:f>
        <x:v>9809.044806000005</x:v>
      </x:c>
    </x:row>
    <x:row r="15">
      <x:c r="A15" s="35" t="n">
        <x:v>46244</x:v>
      </x:c>
      <x:c r="B15" s="37" t="n">
        <x:v>3</x:v>
      </x:c>
      <x:c r="C15" s="37" t="n">
        <x:v>3</x:v>
      </x:c>
      <x:c r="D15" s="37" t="n">
        <x:v>3</x:v>
      </x:c>
      <x:c r="E15" s="37" t="n">
        <x:v>0</x:v>
      </x:c>
      <x:c r="F15" s="39" t="n">
        <x:v>21500</x:v>
      </x:c>
      <x:c r="G15" s="39" t="n">
        <x:v>750</x:v>
      </x:c>
      <x:c r="H15" s="39" t="n">
        <x:v>20750</x:v>
      </x:c>
      <x:c r="I15" s="39" t="n">
        <x:f>SUM($H$7:H15)</x:f>
        <x:v>76382.029961</x:v>
      </x:c>
      <x:c r="J15" s="39" t="n">
        <x:f>MAX(0,MAX($I$7:I15))-I15</x:f>
        <x:v>0</x:v>
      </x:c>
      <x:c r="K15" s="37" t="n">
        <x:v>3</x:v>
      </x:c>
      <x:c r="L15" s="37" t="n">
        <x:v>0</x:v>
      </x:c>
      <x:c r="M15" s="39" t="n">
        <x:v>21500</x:v>
      </x:c>
      <x:c r="N15" s="39" t="n">
        <x:v>750</x:v>
      </x:c>
      <x:c r="O15" s="39" t="n">
        <x:v>20750</x:v>
      </x:c>
      <x:c r="P15" s="39" t="n">
        <x:f>SUM($O$7:O15)</x:f>
        <x:v>72632.029961</x:v>
      </x:c>
      <x:c r="Q15" s="39" t="n">
        <x:f>MAX(0,MAX($P$7:P15))-P15</x:f>
        <x:v>0</x:v>
      </x:c>
      <x:c r="R15" s="37" t="n">
        <x:v>3</x:v>
      </x:c>
      <x:c r="S15" s="37" t="n">
        <x:v>0</x:v>
      </x:c>
      <x:c r="T15" s="39" t="n">
        <x:v>21500</x:v>
      </x:c>
      <x:c r="U15" s="39" t="n">
        <x:v>750</x:v>
      </x:c>
      <x:c r="V15" s="39" t="n">
        <x:v>20750</x:v>
      </x:c>
      <x:c r="W15" s="39" t="n">
        <x:f>SUM($V$7:V15)</x:f>
        <x:v>86191.07476700001</x:v>
      </x:c>
      <x:c r="X15" s="39" t="n">
        <x:f>MAX(0,MAX($W$7:W15))-W15</x:f>
        <x:v>0</x:v>
      </x:c>
      <x:c r="Y15" s="39" t="n">
        <x:f>O15-H15</x:f>
        <x:v>0</x:v>
      </x:c>
      <x:c r="Z15" s="39" t="n">
        <x:f>P15-I15</x:f>
        <x:v>-3750</x:v>
      </x:c>
      <x:c r="AA15" s="39" t="n">
        <x:f>V15-H15</x:f>
        <x:v>0</x:v>
      </x:c>
      <x:c r="AB15" s="39" t="n">
        <x:f>W15-I15</x:f>
        <x:v>9809.04480600002</x:v>
      </x:c>
    </x:row>
    <x:row r="16">
      <x:c r="A16" s="36" t="n">
        <x:v>46245</x:v>
      </x:c>
      <x:c r="B16" s="38" t="n">
        <x:v>5</x:v>
      </x:c>
      <x:c r="C16" s="38" t="n">
        <x:v>5</x:v>
      </x:c>
      <x:c r="D16" s="38" t="n">
        <x:v>2</x:v>
      </x:c>
      <x:c r="E16" s="38" t="n">
        <x:v>3</x:v>
      </x:c>
      <x:c r="F16" s="40" t="n">
        <x:v>4850</x:v>
      </x:c>
      <x:c r="G16" s="40" t="n">
        <x:v>1250</x:v>
      </x:c>
      <x:c r="H16" s="40" t="n">
        <x:v>3600</x:v>
      </x:c>
      <x:c r="I16" s="40" t="n">
        <x:f>SUM($H$7:H16)</x:f>
        <x:v>79982.029961</x:v>
      </x:c>
      <x:c r="J16" s="40" t="n">
        <x:f>MAX(0,MAX($I$7:I16))-I16</x:f>
        <x:v>0</x:v>
      </x:c>
      <x:c r="K16" s="38" t="n">
        <x:v>2</x:v>
      </x:c>
      <x:c r="L16" s="38" t="n">
        <x:v>3</x:v>
      </x:c>
      <x:c r="M16" s="40" t="n">
        <x:v>5414.807041</x:v>
      </x:c>
      <x:c r="N16" s="40" t="n">
        <x:v>1250</x:v>
      </x:c>
      <x:c r="O16" s="40" t="n">
        <x:v>4164.807041</x:v>
      </x:c>
      <x:c r="P16" s="40" t="n">
        <x:f>SUM($O$7:O16)</x:f>
        <x:v>76796.83700199999</x:v>
      </x:c>
      <x:c r="Q16" s="40" t="n">
        <x:f>MAX(0,MAX($P$7:P16))-P16</x:f>
        <x:v>0</x:v>
      </x:c>
      <x:c r="R16" s="38" t="n">
        <x:v>2</x:v>
      </x:c>
      <x:c r="S16" s="38" t="n">
        <x:v>3</x:v>
      </x:c>
      <x:c r="T16" s="40" t="n">
        <x:v>8313.897715</x:v>
      </x:c>
      <x:c r="U16" s="40" t="n">
        <x:v>1250</x:v>
      </x:c>
      <x:c r="V16" s="40" t="n">
        <x:v>7063.897715</x:v>
      </x:c>
      <x:c r="W16" s="40" t="n">
        <x:f>SUM($V$7:V16)</x:f>
        <x:v>93254.97248200001</x:v>
      </x:c>
      <x:c r="X16" s="40" t="n">
        <x:f>MAX(0,MAX($W$7:W16))-W16</x:f>
        <x:v>0</x:v>
      </x:c>
      <x:c r="Y16" s="40" t="n">
        <x:f>O16-H16</x:f>
        <x:v>564.807041</x:v>
      </x:c>
      <x:c r="Z16" s="40" t="n">
        <x:f>P16-I16</x:f>
        <x:v>-3185.1929590000072</x:v>
      </x:c>
      <x:c r="AA16" s="40" t="n">
        <x:f>V16-H16</x:f>
        <x:v>3463.897715</x:v>
      </x:c>
      <x:c r="AB16" s="40" t="n">
        <x:f>W16-I16</x:f>
        <x:v>13272.942521000019</x:v>
      </x:c>
    </x:row>
    <x:row r="17">
      <x:c r="A17" s="35" t="n">
        <x:v>46246</x:v>
      </x:c>
      <x:c r="B17" s="37" t="n">
        <x:v>6</x:v>
      </x:c>
      <x:c r="C17" s="37" t="n">
        <x:v>6</x:v>
      </x:c>
      <x:c r="D17" s="37" t="n">
        <x:v>4</x:v>
      </x:c>
      <x:c r="E17" s="37" t="n">
        <x:v>2</x:v>
      </x:c>
      <x:c r="F17" s="39" t="n">
        <x:v>4163.365313</x:v>
      </x:c>
      <x:c r="G17" s="39" t="n">
        <x:v>1500</x:v>
      </x:c>
      <x:c r="H17" s="39" t="n">
        <x:v>2663.365313</x:v>
      </x:c>
      <x:c r="I17" s="39" t="n">
        <x:f>SUM($H$7:H17)</x:f>
        <x:v>82645.395274</x:v>
      </x:c>
      <x:c r="J17" s="39" t="n">
        <x:f>MAX(0,MAX($I$7:I17))-I17</x:f>
        <x:v>0</x:v>
      </x:c>
      <x:c r="K17" s="37" t="n">
        <x:v>4</x:v>
      </x:c>
      <x:c r="L17" s="37" t="n">
        <x:v>2</x:v>
      </x:c>
      <x:c r="M17" s="39" t="n">
        <x:v>6640.243083</x:v>
      </x:c>
      <x:c r="N17" s="39" t="n">
        <x:v>1500</x:v>
      </x:c>
      <x:c r="O17" s="39" t="n">
        <x:v>5140.243083</x:v>
      </x:c>
      <x:c r="P17" s="39" t="n">
        <x:f>SUM($O$7:O17)</x:f>
        <x:v>81937.08008499998</x:v>
      </x:c>
      <x:c r="Q17" s="39" t="n">
        <x:f>MAX(0,MAX($P$7:P17))-P17</x:f>
        <x:v>0</x:v>
      </x:c>
      <x:c r="R17" s="37" t="n">
        <x:v>4</x:v>
      </x:c>
      <x:c r="S17" s="37" t="n">
        <x:v>2</x:v>
      </x:c>
      <x:c r="T17" s="39" t="n">
        <x:v>6640.243083</x:v>
      </x:c>
      <x:c r="U17" s="39" t="n">
        <x:v>1500</x:v>
      </x:c>
      <x:c r="V17" s="39" t="n">
        <x:v>5140.243083</x:v>
      </x:c>
      <x:c r="W17" s="39" t="n">
        <x:f>SUM($V$7:V17)</x:f>
        <x:v>98395.215565</x:v>
      </x:c>
      <x:c r="X17" s="39" t="n">
        <x:f>MAX(0,MAX($W$7:W17))-W17</x:f>
        <x:v>0</x:v>
      </x:c>
      <x:c r="Y17" s="39" t="n">
        <x:f>O17-H17</x:f>
        <x:v>2476.8777700000005</x:v>
      </x:c>
      <x:c r="Z17" s="39" t="n">
        <x:f>P17-I17</x:f>
        <x:v>-708.3151890000154</x:v>
      </x:c>
      <x:c r="AA17" s="39" t="n">
        <x:f>V17-H17</x:f>
        <x:v>2476.8777700000005</x:v>
      </x:c>
      <x:c r="AB17" s="39" t="n">
        <x:f>W17-I17</x:f>
        <x:v>15749.820291000011</x:v>
      </x:c>
    </x:row>
    <x:row r="18">
      <x:c r="A18" s="36" t="n">
        <x:v>46247</x:v>
      </x:c>
      <x:c r="B18" s="38" t="n">
        <x:v>0</x:v>
      </x:c>
      <x:c r="C18" s="38" t="n">
        <x:v>0</x:v>
      </x:c>
      <x:c r="D18" s="38" t="n">
        <x:v>0</x:v>
      </x:c>
      <x:c r="E18" s="38" t="n">
        <x:v>0</x:v>
      </x:c>
      <x:c r="F18" s="40" t="n">
        <x:v>0</x:v>
      </x:c>
      <x:c r="G18" s="40" t="n">
        <x:v>0</x:v>
      </x:c>
      <x:c r="H18" s="40" t="n">
        <x:v>0</x:v>
      </x:c>
      <x:c r="I18" s="40" t="n">
        <x:f>SUM($H$7:H18)</x:f>
        <x:v>82645.395274</x:v>
      </x:c>
      <x:c r="J18" s="40" t="n">
        <x:f>MAX(0,MAX($I$7:I18))-I18</x:f>
        <x:v>0</x:v>
      </x:c>
      <x:c r="K18" s="38" t="n">
        <x:v>0</x:v>
      </x:c>
      <x:c r="L18" s="38" t="n">
        <x:v>0</x:v>
      </x:c>
      <x:c r="M18" s="40" t="n">
        <x:v>0</x:v>
      </x:c>
      <x:c r="N18" s="40" t="n">
        <x:v>0</x:v>
      </x:c>
      <x:c r="O18" s="40" t="n">
        <x:v>0</x:v>
      </x:c>
      <x:c r="P18" s="40" t="n">
        <x:f>SUM($O$7:O18)</x:f>
        <x:v>81937.08008499998</x:v>
      </x:c>
      <x:c r="Q18" s="40" t="n">
        <x:f>MAX(0,MAX($P$7:P18))-P18</x:f>
        <x:v>0</x:v>
      </x:c>
      <x:c r="R18" s="38" t="n">
        <x:v>0</x:v>
      </x:c>
      <x:c r="S18" s="38" t="n">
        <x:v>0</x:v>
      </x:c>
      <x:c r="T18" s="40" t="n">
        <x:v>0</x:v>
      </x:c>
      <x:c r="U18" s="40" t="n">
        <x:v>0</x:v>
      </x:c>
      <x:c r="V18" s="40" t="n">
        <x:v>0</x:v>
      </x:c>
      <x:c r="W18" s="40" t="n">
        <x:f>SUM($V$7:V18)</x:f>
        <x:v>98395.215565</x:v>
      </x:c>
      <x:c r="X18" s="40" t="n">
        <x:f>MAX(0,MAX($W$7:W18))-W18</x:f>
        <x:v>0</x:v>
      </x:c>
      <x:c r="Y18" s="40" t="n">
        <x:f>O18-H18</x:f>
        <x:v>0</x:v>
      </x:c>
      <x:c r="Z18" s="40" t="n">
        <x:f>P18-I18</x:f>
        <x:v>-708.3151890000154</x:v>
      </x:c>
      <x:c r="AA18" s="40" t="n">
        <x:f>V18-H18</x:f>
        <x:v>0</x:v>
      </x:c>
      <x:c r="AB18" s="40" t="n">
        <x:f>W18-I18</x:f>
        <x:v>15749.820291000011</x:v>
      </x:c>
    </x:row>
    <x:row r="19">
      <x:c r="A19" s="35" t="n">
        <x:v>46248</x:v>
      </x:c>
      <x:c r="B19" s="37" t="n">
        <x:v>2</x:v>
      </x:c>
      <x:c r="C19" s="37" t="n">
        <x:v>2</x:v>
      </x:c>
      <x:c r="D19" s="37" t="n">
        <x:v>2</x:v>
      </x:c>
      <x:c r="E19" s="37" t="n">
        <x:v>0</x:v>
      </x:c>
      <x:c r="F19" s="39" t="n">
        <x:v>9067.696196</x:v>
      </x:c>
      <x:c r="G19" s="39" t="n">
        <x:v>500</x:v>
      </x:c>
      <x:c r="H19" s="39" t="n">
        <x:v>8567.696196</x:v>
      </x:c>
      <x:c r="I19" s="39" t="n">
        <x:f>SUM($H$7:H19)</x:f>
        <x:v>91213.09147</x:v>
      </x:c>
      <x:c r="J19" s="39" t="n">
        <x:f>MAX(0,MAX($I$7:I19))-I19</x:f>
        <x:v>0</x:v>
      </x:c>
      <x:c r="K19" s="37" t="n">
        <x:v>2</x:v>
      </x:c>
      <x:c r="L19" s="37" t="n">
        <x:v>0</x:v>
      </x:c>
      <x:c r="M19" s="39" t="n">
        <x:v>9067.696196</x:v>
      </x:c>
      <x:c r="N19" s="39" t="n">
        <x:v>500</x:v>
      </x:c>
      <x:c r="O19" s="39" t="n">
        <x:v>8567.696196</x:v>
      </x:c>
      <x:c r="P19" s="39" t="n">
        <x:f>SUM($O$7:O19)</x:f>
        <x:v>90504.77628099998</x:v>
      </x:c>
      <x:c r="Q19" s="39" t="n">
        <x:f>MAX(0,MAX($P$7:P19))-P19</x:f>
        <x:v>0</x:v>
      </x:c>
      <x:c r="R19" s="37" t="n">
        <x:v>2</x:v>
      </x:c>
      <x:c r="S19" s="37" t="n">
        <x:v>0</x:v>
      </x:c>
      <x:c r="T19" s="39" t="n">
        <x:v>9067.696196</x:v>
      </x:c>
      <x:c r="U19" s="39" t="n">
        <x:v>500</x:v>
      </x:c>
      <x:c r="V19" s="39" t="n">
        <x:v>8567.696196</x:v>
      </x:c>
      <x:c r="W19" s="39" t="n">
        <x:f>SUM($V$7:V19)</x:f>
        <x:v>106962.91176100001</x:v>
      </x:c>
      <x:c r="X19" s="39" t="n">
        <x:f>MAX(0,MAX($W$7:W19))-W19</x:f>
        <x:v>0</x:v>
      </x:c>
      <x:c r="Y19" s="39" t="n">
        <x:f>O19-H19</x:f>
        <x:v>0</x:v>
      </x:c>
      <x:c r="Z19" s="39" t="n">
        <x:f>P19-I19</x:f>
        <x:v>-708.3151890000154</x:v>
      </x:c>
      <x:c r="AA19" s="39" t="n">
        <x:f>V19-H19</x:f>
        <x:v>0</x:v>
      </x:c>
      <x:c r="AB19" s="39" t="n">
        <x:f>W19-I19</x:f>
        <x:v>15749.820291000011</x:v>
      </x:c>
    </x:row>
    <x:row r="20">
      <x:c r="A20" s="36" t="n">
        <x:v>46251</x:v>
      </x:c>
      <x:c r="B20" s="38" t="n">
        <x:v>2</x:v>
      </x:c>
      <x:c r="C20" s="38" t="n">
        <x:v>2</x:v>
      </x:c>
      <x:c r="D20" s="38" t="n">
        <x:v>0</x:v>
      </x:c>
      <x:c r="E20" s="38" t="n">
        <x:v>2</x:v>
      </x:c>
      <x:c r="F20" s="40" t="n">
        <x:v>-10000</x:v>
      </x:c>
      <x:c r="G20" s="40" t="n">
        <x:v>500</x:v>
      </x:c>
      <x:c r="H20" s="40" t="n">
        <x:v>-10500</x:v>
      </x:c>
      <x:c r="I20" s="40" t="n">
        <x:f>SUM($H$7:H20)</x:f>
        <x:v>80713.09147</x:v>
      </x:c>
      <x:c r="J20" s="40" t="n">
        <x:f>MAX(0,MAX($I$7:I20))-I20</x:f>
        <x:v>10500</x:v>
      </x:c>
      <x:c r="K20" s="38" t="n">
        <x:v>0</x:v>
      </x:c>
      <x:c r="L20" s="38" t="n">
        <x:v>2</x:v>
      </x:c>
      <x:c r="M20" s="40" t="n">
        <x:v>-12500</x:v>
      </x:c>
      <x:c r="N20" s="40" t="n">
        <x:v>500</x:v>
      </x:c>
      <x:c r="O20" s="40" t="n">
        <x:v>-13000</x:v>
      </x:c>
      <x:c r="P20" s="40" t="n">
        <x:f>SUM($O$7:O20)</x:f>
        <x:v>77504.77628099998</x:v>
      </x:c>
      <x:c r="Q20" s="40" t="n">
        <x:f>MAX(0,MAX($P$7:P20))-P20</x:f>
        <x:v>13000</x:v>
      </x:c>
      <x:c r="R20" s="38" t="n">
        <x:v>0</x:v>
      </x:c>
      <x:c r="S20" s="38" t="n">
        <x:v>2</x:v>
      </x:c>
      <x:c r="T20" s="40" t="n">
        <x:v>-13702.930145</x:v>
      </x:c>
      <x:c r="U20" s="40" t="n">
        <x:v>500</x:v>
      </x:c>
      <x:c r="V20" s="40" t="n">
        <x:v>-14202.930145</x:v>
      </x:c>
      <x:c r="W20" s="40" t="n">
        <x:f>SUM($V$7:V20)</x:f>
        <x:v>92759.981616</x:v>
      </x:c>
      <x:c r="X20" s="40" t="n">
        <x:f>MAX(0,MAX($W$7:W20))-W20</x:f>
        <x:v>14202.930145000006</x:v>
      </x:c>
      <x:c r="Y20" s="40" t="n">
        <x:f>O20-H20</x:f>
        <x:v>-2500</x:v>
      </x:c>
      <x:c r="Z20" s="40" t="n">
        <x:f>P20-I20</x:f>
        <x:v>-3208.3151890000154</x:v>
      </x:c>
      <x:c r="AA20" s="40" t="n">
        <x:f>V20-H20</x:f>
        <x:v>-3702.9301450000003</x:v>
      </x:c>
      <x:c r="AB20" s="40" t="n">
        <x:f>W20-I20</x:f>
        <x:v>12046.890146000005</x:v>
      </x:c>
    </x:row>
    <x:row r="21">
      <x:c r="A21" s="35" t="n">
        <x:v>46252</x:v>
      </x:c>
      <x:c r="B21" s="37" t="n">
        <x:v>3</x:v>
      </x:c>
      <x:c r="C21" s="37" t="n">
        <x:v>3</x:v>
      </x:c>
      <x:c r="D21" s="37" t="n">
        <x:v>3</x:v>
      </x:c>
      <x:c r="E21" s="37" t="n">
        <x:v>0</x:v>
      </x:c>
      <x:c r="F21" s="39" t="n">
        <x:v>15892.532654</x:v>
      </x:c>
      <x:c r="G21" s="39" t="n">
        <x:v>750</x:v>
      </x:c>
      <x:c r="H21" s="39" t="n">
        <x:v>15142.532654</x:v>
      </x:c>
      <x:c r="I21" s="39" t="n">
        <x:f>SUM($H$7:H21)</x:f>
        <x:v>95855.624124</x:v>
      </x:c>
      <x:c r="J21" s="39" t="n">
        <x:f>MAX(0,MAX($I$7:I21))-I21</x:f>
        <x:v>0</x:v>
      </x:c>
      <x:c r="K21" s="37" t="n">
        <x:v>3</x:v>
      </x:c>
      <x:c r="L21" s="37" t="n">
        <x:v>0</x:v>
      </x:c>
      <x:c r="M21" s="39" t="n">
        <x:v>15892.532654</x:v>
      </x:c>
      <x:c r="N21" s="39" t="n">
        <x:v>750</x:v>
      </x:c>
      <x:c r="O21" s="39" t="n">
        <x:v>15142.532654</x:v>
      </x:c>
      <x:c r="P21" s="39" t="n">
        <x:f>SUM($O$7:O21)</x:f>
        <x:v>92647.30893499998</x:v>
      </x:c>
      <x:c r="Q21" s="39" t="n">
        <x:f>MAX(0,MAX($P$7:P21))-P21</x:f>
        <x:v>0</x:v>
      </x:c>
      <x:c r="R21" s="37" t="n">
        <x:v>3</x:v>
      </x:c>
      <x:c r="S21" s="37" t="n">
        <x:v>0</x:v>
      </x:c>
      <x:c r="T21" s="39" t="n">
        <x:v>15892.532654</x:v>
      </x:c>
      <x:c r="U21" s="39" t="n">
        <x:v>750</x:v>
      </x:c>
      <x:c r="V21" s="39" t="n">
        <x:v>15142.532654</x:v>
      </x:c>
      <x:c r="W21" s="39" t="n">
        <x:f>SUM($V$7:V21)</x:f>
        <x:v>107902.51427</x:v>
      </x:c>
      <x:c r="X21" s="39" t="n">
        <x:f>MAX(0,MAX($W$7:W21))-W21</x:f>
        <x:v>0</x:v>
      </x:c>
      <x:c r="Y21" s="39" t="n">
        <x:f>O21-H21</x:f>
        <x:v>0</x:v>
      </x:c>
      <x:c r="Z21" s="39" t="n">
        <x:f>P21-I21</x:f>
        <x:v>-3208.3151890000154</x:v>
      </x:c>
      <x:c r="AA21" s="39" t="n">
        <x:f>V21-H21</x:f>
        <x:v>0</x:v>
      </x:c>
      <x:c r="AB21" s="39" t="n">
        <x:f>W21-I21</x:f>
        <x:v>12046.890146000005</x:v>
      </x:c>
    </x:row>
    <x:row r="22">
      <x:c r="A22" s="36" t="n">
        <x:v>46253</x:v>
      </x:c>
      <x:c r="B22" s="38" t="n">
        <x:v>2</x:v>
      </x:c>
      <x:c r="C22" s="38" t="n">
        <x:v>2</x:v>
      </x:c>
      <x:c r="D22" s="38" t="n">
        <x:v>2</x:v>
      </x:c>
      <x:c r="E22" s="38" t="n">
        <x:v>0</x:v>
      </x:c>
      <x:c r="F22" s="40" t="n">
        <x:v>5268.519854</x:v>
      </x:c>
      <x:c r="G22" s="40" t="n">
        <x:v>500</x:v>
      </x:c>
      <x:c r="H22" s="40" t="n">
        <x:v>4768.519854</x:v>
      </x:c>
      <x:c r="I22" s="40" t="n">
        <x:f>SUM($H$7:H22)</x:f>
        <x:v>100624.143978</x:v>
      </x:c>
      <x:c r="J22" s="40" t="n">
        <x:f>MAX(0,MAX($I$7:I22))-I22</x:f>
        <x:v>0</x:v>
      </x:c>
      <x:c r="K22" s="38" t="n">
        <x:v>2</x:v>
      </x:c>
      <x:c r="L22" s="38" t="n">
        <x:v>0</x:v>
      </x:c>
      <x:c r="M22" s="40" t="n">
        <x:v>5268.519854</x:v>
      </x:c>
      <x:c r="N22" s="40" t="n">
        <x:v>500</x:v>
      </x:c>
      <x:c r="O22" s="40" t="n">
        <x:v>4768.519854</x:v>
      </x:c>
      <x:c r="P22" s="40" t="n">
        <x:f>SUM($O$7:O22)</x:f>
        <x:v>97415.82878899998</x:v>
      </x:c>
      <x:c r="Q22" s="40" t="n">
        <x:f>MAX(0,MAX($P$7:P22))-P22</x:f>
        <x:v>0</x:v>
      </x:c>
      <x:c r="R22" s="38" t="n">
        <x:v>2</x:v>
      </x:c>
      <x:c r="S22" s="38" t="n">
        <x:v>0</x:v>
      </x:c>
      <x:c r="T22" s="40" t="n">
        <x:v>5268.519854</x:v>
      </x:c>
      <x:c r="U22" s="40" t="n">
        <x:v>500</x:v>
      </x:c>
      <x:c r="V22" s="40" t="n">
        <x:v>4768.519854</x:v>
      </x:c>
      <x:c r="W22" s="40" t="n">
        <x:f>SUM($V$7:V22)</x:f>
        <x:v>112671.034124</x:v>
      </x:c>
      <x:c r="X22" s="40" t="n">
        <x:f>MAX(0,MAX($W$7:W22))-W22</x:f>
        <x:v>0</x:v>
      </x:c>
      <x:c r="Y22" s="40" t="n">
        <x:f>O22-H22</x:f>
        <x:v>0</x:v>
      </x:c>
      <x:c r="Z22" s="40" t="n">
        <x:f>P22-I22</x:f>
        <x:v>-3208.3151890000154</x:v>
      </x:c>
      <x:c r="AA22" s="40" t="n">
        <x:f>V22-H22</x:f>
        <x:v>0</x:v>
      </x:c>
      <x:c r="AB22" s="40" t="n">
        <x:f>W22-I22</x:f>
        <x:v>12046.890146000005</x:v>
      </x:c>
    </x:row>
    <x:row r="23">
      <x:c r="A23" s="35" t="n">
        <x:v>46254</x:v>
      </x:c>
      <x:c r="B23" s="37" t="n">
        <x:v>2</x:v>
      </x:c>
      <x:c r="C23" s="37" t="n">
        <x:v>2</x:v>
      </x:c>
      <x:c r="D23" s="37" t="n">
        <x:v>1</x:v>
      </x:c>
      <x:c r="E23" s="37" t="n">
        <x:v>1</x:v>
      </x:c>
      <x:c r="F23" s="39" t="n">
        <x:v>-4313.063313</x:v>
      </x:c>
      <x:c r="G23" s="39" t="n">
        <x:v>500</x:v>
      </x:c>
      <x:c r="H23" s="39" t="n">
        <x:v>-4813.063313</x:v>
      </x:c>
      <x:c r="I23" s="39" t="n">
        <x:f>SUM($H$7:H23)</x:f>
        <x:v>95811.08066499999</x:v>
      </x:c>
      <x:c r="J23" s="39" t="n">
        <x:f>MAX(0,MAX($I$7:I23))-I23</x:f>
        <x:v>4813.063313000006</x:v>
      </x:c>
      <x:c r="K23" s="37" t="n">
        <x:v>1</x:v>
      </x:c>
      <x:c r="L23" s="37" t="n">
        <x:v>1</x:v>
      </x:c>
      <x:c r="M23" s="39" t="n">
        <x:v>-5563.063313</x:v>
      </x:c>
      <x:c r="N23" s="39" t="n">
        <x:v>500</x:v>
      </x:c>
      <x:c r="O23" s="39" t="n">
        <x:v>-6063.063313</x:v>
      </x:c>
      <x:c r="P23" s="39" t="n">
        <x:f>SUM($O$7:O23)</x:f>
        <x:v>91352.76547599997</x:v>
      </x:c>
      <x:c r="Q23" s="39" t="n">
        <x:f>MAX(0,MAX($P$7:P23))-P23</x:f>
        <x:v>6063.063313000006</x:v>
      </x:c>
      <x:c r="R23" s="37" t="n">
        <x:v>1</x:v>
      </x:c>
      <x:c r="S23" s="37" t="n">
        <x:v>1</x:v>
      </x:c>
      <x:c r="T23" s="39" t="n">
        <x:v>-10494.385064</x:v>
      </x:c>
      <x:c r="U23" s="39" t="n">
        <x:v>500</x:v>
      </x:c>
      <x:c r="V23" s="39" t="n">
        <x:v>-10994.385064</x:v>
      </x:c>
      <x:c r="W23" s="39" t="n">
        <x:f>SUM($V$7:V23)</x:f>
        <x:v>101676.64906</x:v>
      </x:c>
      <x:c r="X23" s="39" t="n">
        <x:f>MAX(0,MAX($W$7:W23))-W23</x:f>
        <x:v>10994.385064000002</x:v>
      </x:c>
      <x:c r="Y23" s="39" t="n">
        <x:f>O23-H23</x:f>
        <x:v>-1250</x:v>
      </x:c>
      <x:c r="Z23" s="39" t="n">
        <x:f>P23-I23</x:f>
        <x:v>-4458.315189000015</x:v>
      </x:c>
      <x:c r="AA23" s="39" t="n">
        <x:f>V23-H23</x:f>
        <x:v>-6181.321751</x:v>
      </x:c>
      <x:c r="AB23" s="39" t="n">
        <x:f>W23-I23</x:f>
        <x:v>5865.568395000009</x:v>
      </x:c>
    </x:row>
    <x:row r="24">
      <x:c r="A24" s="36" t="n">
        <x:v>46255</x:v>
      </x:c>
      <x:c r="B24" s="38" t="n">
        <x:v>1</x:v>
      </x:c>
      <x:c r="C24" s="38" t="n">
        <x:v>1</x:v>
      </x:c>
      <x:c r="D24" s="38" t="n">
        <x:v>0</x:v>
      </x:c>
      <x:c r="E24" s="38" t="n">
        <x:v>1</x:v>
      </x:c>
      <x:c r="F24" s="40" t="n">
        <x:v>-3891.057129</x:v>
      </x:c>
      <x:c r="G24" s="40" t="n">
        <x:v>250</x:v>
      </x:c>
      <x:c r="H24" s="40" t="n">
        <x:v>-4141.057129</x:v>
      </x:c>
      <x:c r="I24" s="40" t="n">
        <x:f>SUM($H$7:H24)</x:f>
        <x:v>91670.023536</x:v>
      </x:c>
      <x:c r="J24" s="40" t="n">
        <x:f>MAX(0,MAX($I$7:I24))-I24</x:f>
        <x:v>8954.120442</x:v>
      </x:c>
      <x:c r="K24" s="38" t="n">
        <x:v>0</x:v>
      </x:c>
      <x:c r="L24" s="38" t="n">
        <x:v>1</x:v>
      </x:c>
      <x:c r="M24" s="40" t="n">
        <x:v>-3891.057129</x:v>
      </x:c>
      <x:c r="N24" s="40" t="n">
        <x:v>250</x:v>
      </x:c>
      <x:c r="O24" s="40" t="n">
        <x:v>-4141.057129</x:v>
      </x:c>
      <x:c r="P24" s="40" t="n">
        <x:f>SUM($O$7:O24)</x:f>
        <x:v>87211.70834699998</x:v>
      </x:c>
      <x:c r="Q24" s="40" t="n">
        <x:f>MAX(0,MAX($P$7:P24))-P24</x:f>
        <x:v>10204.120442</x:v>
      </x:c>
      <x:c r="R24" s="38" t="n">
        <x:v>0</x:v>
      </x:c>
      <x:c r="S24" s="38" t="n">
        <x:v>1</x:v>
      </x:c>
      <x:c r="T24" s="40" t="n">
        <x:v>-3891.057129</x:v>
      </x:c>
      <x:c r="U24" s="40" t="n">
        <x:v>250</x:v>
      </x:c>
      <x:c r="V24" s="40" t="n">
        <x:v>-4141.057129</x:v>
      </x:c>
      <x:c r="W24" s="40" t="n">
        <x:f>SUM($V$7:V24)</x:f>
        <x:v>97535.591931</x:v>
      </x:c>
      <x:c r="X24" s="40" t="n">
        <x:f>MAX(0,MAX($W$7:W24))-W24</x:f>
        <x:v>15135.442192999995</x:v>
      </x:c>
      <x:c r="Y24" s="40" t="n">
        <x:f>O24-H24</x:f>
        <x:v>0</x:v>
      </x:c>
      <x:c r="Z24" s="40" t="n">
        <x:f>P24-I24</x:f>
        <x:v>-4458.315189000015</x:v>
      </x:c>
      <x:c r="AA24" s="40" t="n">
        <x:f>V24-H24</x:f>
        <x:v>0</x:v>
      </x:c>
      <x:c r="AB24" s="40" t="n">
        <x:f>W24-I24</x:f>
        <x:v>5865.568395000009</x:v>
      </x:c>
    </x:row>
    <x:row r="25">
      <x:c r="A25" s="35" t="n">
        <x:v>46260</x:v>
      </x:c>
      <x:c r="B25" s="37" t="n">
        <x:v>2</x:v>
      </x:c>
      <x:c r="C25" s="37" t="n">
        <x:v>2</x:v>
      </x:c>
      <x:c r="D25" s="37" t="n">
        <x:v>2</x:v>
      </x:c>
      <x:c r="E25" s="37" t="n">
        <x:v>0</x:v>
      </x:c>
      <x:c r="F25" s="39" t="n">
        <x:v>12118.234781</x:v>
      </x:c>
      <x:c r="G25" s="39" t="n">
        <x:v>500</x:v>
      </x:c>
      <x:c r="H25" s="39" t="n">
        <x:v>11618.234781</x:v>
      </x:c>
      <x:c r="I25" s="39" t="n">
        <x:f>SUM($H$7:H25)</x:f>
        <x:v>103288.258317</x:v>
      </x:c>
      <x:c r="J25" s="39" t="n">
        <x:f>MAX(0,MAX($I$7:I25))-I25</x:f>
        <x:v>0</x:v>
      </x:c>
      <x:c r="K25" s="37" t="n">
        <x:v>2</x:v>
      </x:c>
      <x:c r="L25" s="37" t="n">
        <x:v>0</x:v>
      </x:c>
      <x:c r="M25" s="39" t="n">
        <x:v>12118.234781</x:v>
      </x:c>
      <x:c r="N25" s="39" t="n">
        <x:v>500</x:v>
      </x:c>
      <x:c r="O25" s="39" t="n">
        <x:v>11618.234781</x:v>
      </x:c>
      <x:c r="P25" s="39" t="n">
        <x:f>SUM($O$7:O25)</x:f>
        <x:v>98829.94312799998</x:v>
      </x:c>
      <x:c r="Q25" s="39" t="n">
        <x:f>MAX(0,MAX($P$7:P25))-P25</x:f>
        <x:v>0</x:v>
      </x:c>
      <x:c r="R25" s="37" t="n">
        <x:v>2</x:v>
      </x:c>
      <x:c r="S25" s="37" t="n">
        <x:v>0</x:v>
      </x:c>
      <x:c r="T25" s="39" t="n">
        <x:v>12118.234781</x:v>
      </x:c>
      <x:c r="U25" s="39" t="n">
        <x:v>500</x:v>
      </x:c>
      <x:c r="V25" s="39" t="n">
        <x:v>11618.234781</x:v>
      </x:c>
      <x:c r="W25" s="39" t="n">
        <x:f>SUM($V$7:V25)</x:f>
        <x:v>109153.82671200001</x:v>
      </x:c>
      <x:c r="X25" s="39" t="n">
        <x:f>MAX(0,MAX($W$7:W25))-W25</x:f>
        <x:v>3517.207411999989</x:v>
      </x:c>
      <x:c r="Y25" s="39" t="n">
        <x:f>O25-H25</x:f>
        <x:v>0</x:v>
      </x:c>
      <x:c r="Z25" s="39" t="n">
        <x:f>P25-I25</x:f>
        <x:v>-4458.315189000015</x:v>
      </x:c>
      <x:c r="AA25" s="39" t="n">
        <x:f>V25-H25</x:f>
        <x:v>0</x:v>
      </x:c>
      <x:c r="AB25" s="39" t="n">
        <x:f>W25-I25</x:f>
        <x:v>5865.568395000009</x:v>
      </x:c>
    </x:row>
    <x:row r="26">
      <x:c r="A26" s="36" t="n">
        <x:v>46261</x:v>
      </x:c>
      <x:c r="B26" s="38" t="n">
        <x:v>4</x:v>
      </x:c>
      <x:c r="C26" s="38" t="n">
        <x:v>4</x:v>
      </x:c>
      <x:c r="D26" s="38" t="n">
        <x:v>2</x:v>
      </x:c>
      <x:c r="E26" s="38" t="n">
        <x:v>2</x:v>
      </x:c>
      <x:c r="F26" s="40" t="n">
        <x:v>-4575.331444</x:v>
      </x:c>
      <x:c r="G26" s="40" t="n">
        <x:v>1000</x:v>
      </x:c>
      <x:c r="H26" s="40" t="n">
        <x:v>-5575.331444</x:v>
      </x:c>
      <x:c r="I26" s="40" t="n">
        <x:f>SUM($H$7:H26)</x:f>
        <x:v>97712.926873</x:v>
      </x:c>
      <x:c r="J26" s="40" t="n">
        <x:f>MAX(0,MAX($I$7:I26))-I26</x:f>
        <x:v>5575.331443999996</x:v>
      </x:c>
      <x:c r="K26" s="38" t="n">
        <x:v>3</x:v>
      </x:c>
      <x:c r="L26" s="38" t="n">
        <x:v>1</x:v>
      </x:c>
      <x:c r="M26" s="40" t="n">
        <x:v>3674.668556</x:v>
      </x:c>
      <x:c r="N26" s="40" t="n">
        <x:v>1000</x:v>
      </x:c>
      <x:c r="O26" s="40" t="n">
        <x:v>2674.668556</x:v>
      </x:c>
      <x:c r="P26" s="40" t="n">
        <x:f>SUM($O$7:O26)</x:f>
        <x:v>101504.61168399999</x:v>
      </x:c>
      <x:c r="Q26" s="40" t="n">
        <x:f>MAX(0,MAX($P$7:P26))-P26</x:f>
        <x:v>0</x:v>
      </x:c>
      <x:c r="R26" s="38" t="n">
        <x:v>3</x:v>
      </x:c>
      <x:c r="S26" s="38" t="n">
        <x:v>1</x:v>
      </x:c>
      <x:c r="T26" s="40" t="n">
        <x:v>6123.122165</x:v>
      </x:c>
      <x:c r="U26" s="40" t="n">
        <x:v>1000</x:v>
      </x:c>
      <x:c r="V26" s="40" t="n">
        <x:v>5123.122165</x:v>
      </x:c>
      <x:c r="W26" s="40" t="n">
        <x:f>SUM($V$7:V26)</x:f>
        <x:v>114276.948877</x:v>
      </x:c>
      <x:c r="X26" s="40" t="n">
        <x:f>MAX(0,MAX($W$7:W26))-W26</x:f>
        <x:v>0</x:v>
      </x:c>
      <x:c r="Y26" s="40" t="n">
        <x:f>O26-H26</x:f>
        <x:v>8250</x:v>
      </x:c>
      <x:c r="Z26" s="40" t="n">
        <x:f>P26-I26</x:f>
        <x:v>3791.6848109999846</x:v>
      </x:c>
      <x:c r="AA26" s="40" t="n">
        <x:f>V26-H26</x:f>
        <x:v>10698.453609</x:v>
      </x:c>
      <x:c r="AB26" s="40" t="n">
        <x:f>W26-I26</x:f>
        <x:v>16564.022004</x:v>
      </x:c>
    </x:row>
    <x:row r="27">
      <x:c r="A27" s="35" t="n">
        <x:v>46262</x:v>
      </x:c>
      <x:c r="B27" s="37" t="n">
        <x:v>5</x:v>
      </x:c>
      <x:c r="C27" s="37" t="n">
        <x:v>5</x:v>
      </x:c>
      <x:c r="D27" s="37" t="n">
        <x:v>5</x:v>
      </x:c>
      <x:c r="E27" s="37" t="n">
        <x:v>0</x:v>
      </x:c>
      <x:c r="F27" s="39" t="n">
        <x:v>34211.051719</x:v>
      </x:c>
      <x:c r="G27" s="39" t="n">
        <x:v>1250</x:v>
      </x:c>
      <x:c r="H27" s="39" t="n">
        <x:v>32961.051719</x:v>
      </x:c>
      <x:c r="I27" s="39" t="n">
        <x:f>SUM($H$7:H27)</x:f>
        <x:v>130673.978592</x:v>
      </x:c>
      <x:c r="J27" s="39" t="n">
        <x:f>MAX(0,MAX($I$7:I27))-I27</x:f>
        <x:v>0</x:v>
      </x:c>
      <x:c r="K27" s="37" t="n">
        <x:v>5</x:v>
      </x:c>
      <x:c r="L27" s="37" t="n">
        <x:v>0</x:v>
      </x:c>
      <x:c r="M27" s="39" t="n">
        <x:v>34211.051719</x:v>
      </x:c>
      <x:c r="N27" s="39" t="n">
        <x:v>1250</x:v>
      </x:c>
      <x:c r="O27" s="39" t="n">
        <x:v>32961.051719</x:v>
      </x:c>
      <x:c r="P27" s="39" t="n">
        <x:f>SUM($O$7:O27)</x:f>
        <x:v>134465.66340299998</x:v>
      </x:c>
      <x:c r="Q27" s="39" t="n">
        <x:f>MAX(0,MAX($P$7:P27))-P27</x:f>
        <x:v>0</x:v>
      </x:c>
      <x:c r="R27" s="37" t="n">
        <x:v>5</x:v>
      </x:c>
      <x:c r="S27" s="37" t="n">
        <x:v>0</x:v>
      </x:c>
      <x:c r="T27" s="39" t="n">
        <x:v>34211.051719</x:v>
      </x:c>
      <x:c r="U27" s="39" t="n">
        <x:v>1250</x:v>
      </x:c>
      <x:c r="V27" s="39" t="n">
        <x:v>32961.051719</x:v>
      </x:c>
      <x:c r="W27" s="39" t="n">
        <x:f>SUM($V$7:V27)</x:f>
        <x:v>147238.000596</x:v>
      </x:c>
      <x:c r="X27" s="39" t="n">
        <x:f>MAX(0,MAX($W$7:W27))-W27</x:f>
        <x:v>0</x:v>
      </x:c>
      <x:c r="Y27" s="39" t="n">
        <x:f>O27-H27</x:f>
        <x:v>0</x:v>
      </x:c>
      <x:c r="Z27" s="39" t="n">
        <x:f>P27-I27</x:f>
        <x:v>3791.6848109999846</x:v>
      </x:c>
      <x:c r="AA27" s="39" t="n">
        <x:f>V27-H27</x:f>
        <x:v>0</x:v>
      </x:c>
      <x:c r="AB27" s="39" t="n">
        <x:f>W27-I27</x:f>
        <x:v>16564.022004</x:v>
      </x:c>
    </x:row>
    <x:row r="28">
      <x:c r="A28" s="36" t="n">
        <x:v>46265</x:v>
      </x:c>
      <x:c r="B28" s="38" t="n">
        <x:v>3</x:v>
      </x:c>
      <x:c r="C28" s="38" t="n">
        <x:v>2</x:v>
      </x:c>
      <x:c r="D28" s="38" t="n">
        <x:v>1</x:v>
      </x:c>
      <x:c r="E28" s="38" t="n">
        <x:v>1</x:v>
      </x:c>
      <x:c r="F28" s="40" t="n">
        <x:v>8350</x:v>
      </x:c>
      <x:c r="G28" s="40" t="n">
        <x:v>500</x:v>
      </x:c>
      <x:c r="H28" s="40" t="n">
        <x:v>7850</x:v>
      </x:c>
      <x:c r="I28" s="40" t="n">
        <x:f>SUM($H$7:H28)</x:f>
        <x:v>138523.978592</x:v>
      </x:c>
      <x:c r="J28" s="40" t="n">
        <x:f>MAX(0,MAX($I$7:I28))-I28</x:f>
        <x:v>0</x:v>
      </x:c>
      <x:c r="K28" s="38" t="n">
        <x:v>1</x:v>
      </x:c>
      <x:c r="L28" s="38" t="n">
        <x:v>1</x:v>
      </x:c>
      <x:c r="M28" s="40" t="n">
        <x:v>7100</x:v>
      </x:c>
      <x:c r="N28" s="40" t="n">
        <x:v>500</x:v>
      </x:c>
      <x:c r="O28" s="40" t="n">
        <x:v>6600</x:v>
      </x:c>
      <x:c r="P28" s="40" t="n">
        <x:f>SUM($O$7:O28)</x:f>
        <x:v>141065.66340299998</x:v>
      </x:c>
      <x:c r="Q28" s="40" t="n">
        <x:f>MAX(0,MAX($P$7:P28))-P28</x:f>
        <x:v>0</x:v>
      </x:c>
      <x:c r="R28" s="38" t="n">
        <x:v>1</x:v>
      </x:c>
      <x:c r="S28" s="38" t="n">
        <x:v>1</x:v>
      </x:c>
      <x:c r="T28" s="40" t="n">
        <x:v>7192.847078</x:v>
      </x:c>
      <x:c r="U28" s="40" t="n">
        <x:v>500</x:v>
      </x:c>
      <x:c r="V28" s="40" t="n">
        <x:v>6692.847078</x:v>
      </x:c>
      <x:c r="W28" s="40" t="n">
        <x:f>SUM($V$7:V28)</x:f>
        <x:v>153930.847674</x:v>
      </x:c>
      <x:c r="X28" s="40" t="n">
        <x:f>MAX(0,MAX($W$7:W28))-W28</x:f>
        <x:v>0</x:v>
      </x:c>
      <x:c r="Y28" s="40" t="n">
        <x:f>O28-H28</x:f>
        <x:v>-1250</x:v>
      </x:c>
      <x:c r="Z28" s="40" t="n">
        <x:f>P28-I28</x:f>
        <x:v>2541.6848109999846</x:v>
      </x:c>
      <x:c r="AA28" s="40" t="n">
        <x:f>V28-H28</x:f>
        <x:v>-1157.1529220000002</x:v>
      </x:c>
      <x:c r="AB28" s="40" t="n">
        <x:f>W28-I28</x:f>
        <x:v>15406.86908199999</x:v>
      </x:c>
    </x:row>
    <x:row r="29">
      <x:c r="A29" s="35" t="n">
        <x:v>46266</x:v>
      </x:c>
      <x:c r="B29" s="37" t="n">
        <x:v>2</x:v>
      </x:c>
      <x:c r="C29" s="37" t="n">
        <x:v>1</x:v>
      </x:c>
      <x:c r="D29" s="37" t="n">
        <x:v>1</x:v>
      </x:c>
      <x:c r="E29" s="37" t="n">
        <x:v>0</x:v>
      </x:c>
      <x:c r="F29" s="39" t="n">
        <x:v>4850</x:v>
      </x:c>
      <x:c r="G29" s="39" t="n">
        <x:v>250</x:v>
      </x:c>
      <x:c r="H29" s="39" t="n">
        <x:v>4600</x:v>
      </x:c>
      <x:c r="I29" s="39" t="n">
        <x:f>SUM($H$7:H29)</x:f>
        <x:v>143123.978592</x:v>
      </x:c>
      <x:c r="J29" s="39" t="n">
        <x:f>MAX(0,MAX($I$7:I29))-I29</x:f>
        <x:v>0</x:v>
      </x:c>
      <x:c r="K29" s="37" t="n">
        <x:v>1</x:v>
      </x:c>
      <x:c r="L29" s="37" t="n">
        <x:v>0</x:v>
      </x:c>
      <x:c r="M29" s="39" t="n">
        <x:v>4850</x:v>
      </x:c>
      <x:c r="N29" s="39" t="n">
        <x:v>250</x:v>
      </x:c>
      <x:c r="O29" s="39" t="n">
        <x:v>4600</x:v>
      </x:c>
      <x:c r="P29" s="39" t="n">
        <x:f>SUM($O$7:O29)</x:f>
        <x:v>145665.66340299998</x:v>
      </x:c>
      <x:c r="Q29" s="39" t="n">
        <x:f>MAX(0,MAX($P$7:P29))-P29</x:f>
        <x:v>0</x:v>
      </x:c>
      <x:c r="R29" s="37" t="n">
        <x:v>1</x:v>
      </x:c>
      <x:c r="S29" s="37" t="n">
        <x:v>0</x:v>
      </x:c>
      <x:c r="T29" s="39" t="n">
        <x:v>4850</x:v>
      </x:c>
      <x:c r="U29" s="39" t="n">
        <x:v>250</x:v>
      </x:c>
      <x:c r="V29" s="39" t="n">
        <x:v>4600</x:v>
      </x:c>
      <x:c r="W29" s="39" t="n">
        <x:f>SUM($V$7:V29)</x:f>
        <x:v>158530.847674</x:v>
      </x:c>
      <x:c r="X29" s="39" t="n">
        <x:f>MAX(0,MAX($W$7:W29))-W29</x:f>
        <x:v>0</x:v>
      </x:c>
      <x:c r="Y29" s="39" t="n">
        <x:f>O29-H29</x:f>
        <x:v>0</x:v>
      </x:c>
      <x:c r="Z29" s="39" t="n">
        <x:f>P29-I29</x:f>
        <x:v>2541.6848109999846</x:v>
      </x:c>
      <x:c r="AA29" s="39" t="n">
        <x:f>V29-H29</x:f>
        <x:v>0</x:v>
      </x:c>
      <x:c r="AB29" s="39" t="n">
        <x:f>W29-I29</x:f>
        <x:v>15406.86908199999</x:v>
      </x:c>
    </x:row>
    <x:row r="30">
      <x:c r="A30" s="36" t="n">
        <x:v>46267</x:v>
      </x:c>
      <x:c r="B30" s="38" t="n">
        <x:v>1</x:v>
      </x:c>
      <x:c r="C30" s="38" t="n">
        <x:v>1</x:v>
      </x:c>
      <x:c r="D30" s="38" t="n">
        <x:v>1</x:v>
      </x:c>
      <x:c r="E30" s="38" t="n">
        <x:v>0</x:v>
      </x:c>
      <x:c r="F30" s="40" t="n">
        <x:v>12150</x:v>
      </x:c>
      <x:c r="G30" s="40" t="n">
        <x:v>250</x:v>
      </x:c>
      <x:c r="H30" s="40" t="n">
        <x:v>11900</x:v>
      </x:c>
      <x:c r="I30" s="40" t="n">
        <x:f>SUM($H$7:H30)</x:f>
        <x:v>155023.978592</x:v>
      </x:c>
      <x:c r="J30" s="40" t="n">
        <x:f>MAX(0,MAX($I$7:I30))-I30</x:f>
        <x:v>0</x:v>
      </x:c>
      <x:c r="K30" s="38" t="n">
        <x:v>1</x:v>
      </x:c>
      <x:c r="L30" s="38" t="n">
        <x:v>0</x:v>
      </x:c>
      <x:c r="M30" s="40" t="n">
        <x:v>12150</x:v>
      </x:c>
      <x:c r="N30" s="40" t="n">
        <x:v>250</x:v>
      </x:c>
      <x:c r="O30" s="40" t="n">
        <x:v>11900</x:v>
      </x:c>
      <x:c r="P30" s="40" t="n">
        <x:f>SUM($O$7:O30)</x:f>
        <x:v>157565.66340299998</x:v>
      </x:c>
      <x:c r="Q30" s="40" t="n">
        <x:f>MAX(0,MAX($P$7:P30))-P30</x:f>
        <x:v>0</x:v>
      </x:c>
      <x:c r="R30" s="38" t="n">
        <x:v>1</x:v>
      </x:c>
      <x:c r="S30" s="38" t="n">
        <x:v>0</x:v>
      </x:c>
      <x:c r="T30" s="40" t="n">
        <x:v>12150</x:v>
      </x:c>
      <x:c r="U30" s="40" t="n">
        <x:v>250</x:v>
      </x:c>
      <x:c r="V30" s="40" t="n">
        <x:v>11900</x:v>
      </x:c>
      <x:c r="W30" s="40" t="n">
        <x:f>SUM($V$7:V30)</x:f>
        <x:v>170430.847674</x:v>
      </x:c>
      <x:c r="X30" s="40" t="n">
        <x:f>MAX(0,MAX($W$7:W30))-W30</x:f>
        <x:v>0</x:v>
      </x:c>
      <x:c r="Y30" s="40" t="n">
        <x:f>O30-H30</x:f>
        <x:v>0</x:v>
      </x:c>
      <x:c r="Z30" s="40" t="n">
        <x:f>P30-I30</x:f>
        <x:v>2541.6848109999846</x:v>
      </x:c>
      <x:c r="AA30" s="40" t="n">
        <x:f>V30-H30</x:f>
        <x:v>0</x:v>
      </x:c>
      <x:c r="AB30" s="40" t="n">
        <x:f>W30-I30</x:f>
        <x:v>15406.86908199999</x:v>
      </x:c>
    </x:row>
    <x:row r="31">
      <x:c r="A31" s="35" t="n">
        <x:v>46268</x:v>
      </x:c>
      <x:c r="B31" s="37" t="n">
        <x:v>1</x:v>
      </x:c>
      <x:c r="C31" s="37" t="n">
        <x:v>0</x:v>
      </x:c>
      <x:c r="D31" s="37" t="n">
        <x:v>0</x:v>
      </x:c>
      <x:c r="E31" s="37" t="n">
        <x:v>0</x:v>
      </x:c>
      <x:c r="F31" s="39" t="n">
        <x:v>0</x:v>
      </x:c>
      <x:c r="G31" s="39" t="n">
        <x:v>0</x:v>
      </x:c>
      <x:c r="H31" s="39" t="n">
        <x:v>0</x:v>
      </x:c>
      <x:c r="I31" s="39" t="n">
        <x:f>SUM($H$7:H31)</x:f>
        <x:v>155023.978592</x:v>
      </x:c>
      <x:c r="J31" s="39" t="n">
        <x:f>MAX(0,MAX($I$7:I31))-I31</x:f>
        <x:v>0</x:v>
      </x:c>
      <x:c r="K31" s="37" t="n">
        <x:v>0</x:v>
      </x:c>
      <x:c r="L31" s="37" t="n">
        <x:v>0</x:v>
      </x:c>
      <x:c r="M31" s="39" t="n">
        <x:v>0</x:v>
      </x:c>
      <x:c r="N31" s="39" t="n">
        <x:v>0</x:v>
      </x:c>
      <x:c r="O31" s="39" t="n">
        <x:v>0</x:v>
      </x:c>
      <x:c r="P31" s="39" t="n">
        <x:f>SUM($O$7:O31)</x:f>
        <x:v>157565.66340299998</x:v>
      </x:c>
      <x:c r="Q31" s="39" t="n">
        <x:f>MAX(0,MAX($P$7:P31))-P31</x:f>
        <x:v>0</x:v>
      </x:c>
      <x:c r="R31" s="37" t="n">
        <x:v>0</x:v>
      </x:c>
      <x:c r="S31" s="37" t="n">
        <x:v>0</x:v>
      </x:c>
      <x:c r="T31" s="39" t="n">
        <x:v>0</x:v>
      </x:c>
      <x:c r="U31" s="39" t="n">
        <x:v>0</x:v>
      </x:c>
      <x:c r="V31" s="39" t="n">
        <x:v>0</x:v>
      </x:c>
      <x:c r="W31" s="39" t="n">
        <x:f>SUM($V$7:V31)</x:f>
        <x:v>170430.847674</x:v>
      </x:c>
      <x:c r="X31" s="39" t="n">
        <x:f>MAX(0,MAX($W$7:W31))-W31</x:f>
        <x:v>0</x:v>
      </x:c>
      <x:c r="Y31" s="39" t="n">
        <x:f>O31-H31</x:f>
        <x:v>0</x:v>
      </x:c>
      <x:c r="Z31" s="39" t="n">
        <x:f>P31-I31</x:f>
        <x:v>2541.6848109999846</x:v>
      </x:c>
      <x:c r="AA31" s="39" t="n">
        <x:f>V31-H31</x:f>
        <x:v>0</x:v>
      </x:c>
      <x:c r="AB31" s="39" t="n">
        <x:f>W31-I31</x:f>
        <x:v>15406.86908199999</x:v>
      </x:c>
    </x:row>
    <x:row r="32">
      <x:c r="A32" s="36" t="n">
        <x:v>46269</x:v>
      </x:c>
      <x:c r="B32" s="38" t="n">
        <x:v>1</x:v>
      </x:c>
      <x:c r="C32" s="38" t="n">
        <x:v>1</x:v>
      </x:c>
      <x:c r="D32" s="38" t="n">
        <x:v>1</x:v>
      </x:c>
      <x:c r="E32" s="38" t="n">
        <x:v>0</x:v>
      </x:c>
      <x:c r="F32" s="40" t="n">
        <x:v>4850</x:v>
      </x:c>
      <x:c r="G32" s="40" t="n">
        <x:v>250</x:v>
      </x:c>
      <x:c r="H32" s="40" t="n">
        <x:v>4600</x:v>
      </x:c>
      <x:c r="I32" s="40" t="n">
        <x:f>SUM($H$7:H32)</x:f>
        <x:v>159623.978592</x:v>
      </x:c>
      <x:c r="J32" s="40" t="n">
        <x:f>MAX(0,MAX($I$7:I32))-I32</x:f>
        <x:v>0</x:v>
      </x:c>
      <x:c r="K32" s="38" t="n">
        <x:v>1</x:v>
      </x:c>
      <x:c r="L32" s="38" t="n">
        <x:v>0</x:v>
      </x:c>
      <x:c r="M32" s="40" t="n">
        <x:v>4850</x:v>
      </x:c>
      <x:c r="N32" s="40" t="n">
        <x:v>250</x:v>
      </x:c>
      <x:c r="O32" s="40" t="n">
        <x:v>4600</x:v>
      </x:c>
      <x:c r="P32" s="40" t="n">
        <x:f>SUM($O$7:O32)</x:f>
        <x:v>162165.66340299998</x:v>
      </x:c>
      <x:c r="Q32" s="40" t="n">
        <x:f>MAX(0,MAX($P$7:P32))-P32</x:f>
        <x:v>0</x:v>
      </x:c>
      <x:c r="R32" s="38" t="n">
        <x:v>1</x:v>
      </x:c>
      <x:c r="S32" s="38" t="n">
        <x:v>0</x:v>
      </x:c>
      <x:c r="T32" s="40" t="n">
        <x:v>4850</x:v>
      </x:c>
      <x:c r="U32" s="40" t="n">
        <x:v>250</x:v>
      </x:c>
      <x:c r="V32" s="40" t="n">
        <x:v>4600</x:v>
      </x:c>
      <x:c r="W32" s="40" t="n">
        <x:f>SUM($V$7:V32)</x:f>
        <x:v>175030.847674</x:v>
      </x:c>
      <x:c r="X32" s="40" t="n">
        <x:f>MAX(0,MAX($W$7:W32))-W32</x:f>
        <x:v>0</x:v>
      </x:c>
      <x:c r="Y32" s="40" t="n">
        <x:f>O32-H32</x:f>
        <x:v>0</x:v>
      </x:c>
      <x:c r="Z32" s="40" t="n">
        <x:f>P32-I32</x:f>
        <x:v>2541.6848109999846</x:v>
      </x:c>
      <x:c r="AA32" s="40" t="n">
        <x:f>V32-H32</x:f>
        <x:v>0</x:v>
      </x:c>
      <x:c r="AB32" s="40" t="n">
        <x:f>W32-I32</x:f>
        <x:v>15406.86908199999</x:v>
      </x:c>
    </x:row>
    <x:row r="33">
      <x:c r="A33" s="35" t="n">
        <x:v>46272</x:v>
      </x:c>
      <x:c r="B33" s="37" t="n">
        <x:v>6</x:v>
      </x:c>
      <x:c r="C33" s="37" t="n">
        <x:v>6</x:v>
      </x:c>
      <x:c r="D33" s="37" t="n">
        <x:v>3</x:v>
      </x:c>
      <x:c r="E33" s="37" t="n">
        <x:v>3</x:v>
      </x:c>
      <x:c r="F33" s="39" t="n">
        <x:v>-2003.295933</x:v>
      </x:c>
      <x:c r="G33" s="39" t="n">
        <x:v>1500</x:v>
      </x:c>
      <x:c r="H33" s="39" t="n">
        <x:v>-3503.295933</x:v>
      </x:c>
      <x:c r="I33" s="39" t="n">
        <x:f>SUM($H$7:H33)</x:f>
        <x:v>156120.682659</x:v>
      </x:c>
      <x:c r="J33" s="39" t="n">
        <x:f>MAX(0,MAX($I$7:I33))-I33</x:f>
        <x:v>3503.2959329999867</x:v>
      </x:c>
      <x:c r="K33" s="37" t="n">
        <x:v>3</x:v>
      </x:c>
      <x:c r="L33" s="37" t="n">
        <x:v>3</x:v>
      </x:c>
      <x:c r="M33" s="39" t="n">
        <x:v>-3253.295933</x:v>
      </x:c>
      <x:c r="N33" s="39" t="n">
        <x:v>1500</x:v>
      </x:c>
      <x:c r="O33" s="39" t="n">
        <x:v>-4753.295933</x:v>
      </x:c>
      <x:c r="P33" s="39" t="n">
        <x:f>SUM($O$7:O33)</x:f>
        <x:v>157412.36747</x:v>
      </x:c>
      <x:c r="Q33" s="39" t="n">
        <x:f>MAX(0,MAX($P$7:P33))-P33</x:f>
        <x:v>4753.295932999987</x:v>
      </x:c>
      <x:c r="R33" s="37" t="n">
        <x:v>3</x:v>
      </x:c>
      <x:c r="S33" s="37" t="n">
        <x:v>3</x:v>
      </x:c>
      <x:c r="T33" s="39" t="n">
        <x:v>-3215.177568</x:v>
      </x:c>
      <x:c r="U33" s="39" t="n">
        <x:v>1500</x:v>
      </x:c>
      <x:c r="V33" s="39" t="n">
        <x:v>-4715.177568</x:v>
      </x:c>
      <x:c r="W33" s="39" t="n">
        <x:f>SUM($V$7:V33)</x:f>
        <x:v>170315.67010599998</x:v>
      </x:c>
      <x:c r="X33" s="39" t="n">
        <x:f>MAX(0,MAX($W$7:W33))-W33</x:f>
        <x:v>4715.177568000014</x:v>
      </x:c>
      <x:c r="Y33" s="39" t="n">
        <x:f>O33-H33</x:f>
        <x:v>-1250.0000000000005</x:v>
      </x:c>
      <x:c r="Z33" s="39" t="n">
        <x:f>P33-I33</x:f>
        <x:v>1291.6848109999846</x:v>
      </x:c>
      <x:c r="AA33" s="39" t="n">
        <x:f>V33-H33</x:f>
        <x:v>-1211.8816350000002</x:v>
      </x:c>
      <x:c r="AB33" s="39" t="n">
        <x:f>W33-I33</x:f>
        <x:v>14194.987446999963</x:v>
      </x:c>
    </x:row>
    <x:row r="34">
      <x:c r="A34" s="36" t="n">
        <x:v>46273</x:v>
      </x:c>
      <x:c r="B34" s="38" t="n">
        <x:v>1</x:v>
      </x:c>
      <x:c r="C34" s="38" t="n">
        <x:v>0</x:v>
      </x:c>
      <x:c r="D34" s="38" t="n">
        <x:v>0</x:v>
      </x:c>
      <x:c r="E34" s="38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f>SUM($H$7:H34)</x:f>
        <x:v>156120.682659</x:v>
      </x:c>
      <x:c r="J34" s="40" t="n">
        <x:f>MAX(0,MAX($I$7:I34))-I34</x:f>
        <x:v>3503.2959329999867</x:v>
      </x:c>
      <x:c r="K34" s="38" t="n">
        <x:v>0</x:v>
      </x:c>
      <x:c r="L34" s="38" t="n">
        <x:v>0</x:v>
      </x:c>
      <x:c r="M34" s="40" t="n">
        <x:v>0</x:v>
      </x:c>
      <x:c r="N34" s="40" t="n">
        <x:v>0</x:v>
      </x:c>
      <x:c r="O34" s="40" t="n">
        <x:v>0</x:v>
      </x:c>
      <x:c r="P34" s="40" t="n">
        <x:f>SUM($O$7:O34)</x:f>
        <x:v>157412.36747</x:v>
      </x:c>
      <x:c r="Q34" s="40" t="n">
        <x:f>MAX(0,MAX($P$7:P34))-P34</x:f>
        <x:v>4753.295932999987</x:v>
      </x:c>
      <x:c r="R34" s="38" t="n">
        <x:v>0</x:v>
      </x:c>
      <x:c r="S34" s="38" t="n">
        <x:v>0</x:v>
      </x:c>
      <x:c r="T34" s="40" t="n">
        <x:v>0</x:v>
      </x:c>
      <x:c r="U34" s="40" t="n">
        <x:v>0</x:v>
      </x:c>
      <x:c r="V34" s="40" t="n">
        <x:v>0</x:v>
      </x:c>
      <x:c r="W34" s="40" t="n">
        <x:f>SUM($V$7:V34)</x:f>
        <x:v>170315.67010599998</x:v>
      </x:c>
      <x:c r="X34" s="40" t="n">
        <x:f>MAX(0,MAX($W$7:W34))-W34</x:f>
        <x:v>4715.177568000014</x:v>
      </x:c>
      <x:c r="Y34" s="40" t="n">
        <x:f>O34-H34</x:f>
        <x:v>0</x:v>
      </x:c>
      <x:c r="Z34" s="40" t="n">
        <x:f>P34-I34</x:f>
        <x:v>1291.6848109999846</x:v>
      </x:c>
      <x:c r="AA34" s="40" t="n">
        <x:f>V34-H34</x:f>
        <x:v>0</x:v>
      </x:c>
      <x:c r="AB34" s="40" t="n">
        <x:f>W34-I34</x:f>
        <x:v>14194.987446999963</x:v>
      </x:c>
    </x:row>
    <x:row r="35">
      <x:c r="A35" s="35" t="n">
        <x:v>46274</x:v>
      </x:c>
      <x:c r="B35" s="37" t="n">
        <x:v>3</x:v>
      </x:c>
      <x:c r="C35" s="37" t="n">
        <x:v>3</x:v>
      </x:c>
      <x:c r="D35" s="37" t="n">
        <x:v>1</x:v>
      </x:c>
      <x:c r="E35" s="37" t="n">
        <x:v>2</x:v>
      </x:c>
      <x:c r="F35" s="39" t="n">
        <x:v>-3880.463134</x:v>
      </x:c>
      <x:c r="G35" s="39" t="n">
        <x:v>750</x:v>
      </x:c>
      <x:c r="H35" s="39" t="n">
        <x:v>-4630.463134</x:v>
      </x:c>
      <x:c r="I35" s="39" t="n">
        <x:f>SUM($H$7:H35)</x:f>
        <x:v>151490.21952500002</x:v>
      </x:c>
      <x:c r="J35" s="39" t="n">
        <x:f>MAX(0,MAX($I$7:I35))-I35</x:f>
        <x:v>8133.759066999977</x:v>
      </x:c>
      <x:c r="K35" s="37" t="n">
        <x:v>2</x:v>
      </x:c>
      <x:c r="L35" s="37" t="n">
        <x:v>1</x:v>
      </x:c>
      <x:c r="M35" s="39" t="n">
        <x:v>2783.73805</x:v>
      </x:c>
      <x:c r="N35" s="39" t="n">
        <x:v>750</x:v>
      </x:c>
      <x:c r="O35" s="39" t="n">
        <x:v>2033.73805</x:v>
      </x:c>
      <x:c r="P35" s="39" t="n">
        <x:f>SUM($O$7:O35)</x:f>
        <x:v>159446.10551999998</x:v>
      </x:c>
      <x:c r="Q35" s="39" t="n">
        <x:f>MAX(0,MAX($P$7:P35))-P35</x:f>
        <x:v>2719.5578830000013</x:v>
      </x:c>
      <x:c r="R35" s="37" t="n">
        <x:v>2</x:v>
      </x:c>
      <x:c r="S35" s="37" t="n">
        <x:v>1</x:v>
      </x:c>
      <x:c r="T35" s="39" t="n">
        <x:v>2783.73805</x:v>
      </x:c>
      <x:c r="U35" s="39" t="n">
        <x:v>750</x:v>
      </x:c>
      <x:c r="V35" s="39" t="n">
        <x:v>2033.73805</x:v>
      </x:c>
      <x:c r="W35" s="39" t="n">
        <x:f>SUM($V$7:V35)</x:f>
        <x:v>172349.40815599996</x:v>
      </x:c>
      <x:c r="X35" s="39" t="n">
        <x:f>MAX(0,MAX($W$7:W35))-W35</x:f>
        <x:v>2681.4395180000283</x:v>
      </x:c>
      <x:c r="Y35" s="39" t="n">
        <x:f>O35-H35</x:f>
        <x:v>6664.201184</x:v>
      </x:c>
      <x:c r="Z35" s="39" t="n">
        <x:f>P35-I35</x:f>
        <x:v>7955.8859949999605</x:v>
      </x:c>
      <x:c r="AA35" s="39" t="n">
        <x:f>V35-H35</x:f>
        <x:v>6664.201184</x:v>
      </x:c>
      <x:c r="AB35" s="39" t="n">
        <x:f>W35-I35</x:f>
        <x:v>20859.18863099994</x:v>
      </x:c>
    </x:row>
    <x:row r="36">
      <x:c r="A36" s="36" t="n">
        <x:v>46275</x:v>
      </x:c>
      <x:c r="B36" s="38" t="n">
        <x:v>2</x:v>
      </x:c>
      <x:c r="C36" s="38" t="n">
        <x:v>1</x:v>
      </x:c>
      <x:c r="D36" s="38" t="n">
        <x:v>1</x:v>
      </x:c>
      <x:c r="E36" s="38" t="n">
        <x:v>0</x:v>
      </x:c>
      <x:c r="F36" s="40" t="n">
        <x:v>4120.648017</x:v>
      </x:c>
      <x:c r="G36" s="40" t="n">
        <x:v>250</x:v>
      </x:c>
      <x:c r="H36" s="40" t="n">
        <x:v>3870.648017</x:v>
      </x:c>
      <x:c r="I36" s="40" t="n">
        <x:f>SUM($H$7:H36)</x:f>
        <x:v>155360.86754200002</x:v>
      </x:c>
      <x:c r="J36" s="40" t="n">
        <x:f>MAX(0,MAX($I$7:I36))-I36</x:f>
        <x:v>4263.111049999978</x:v>
      </x:c>
      <x:c r="K36" s="38" t="n">
        <x:v>1</x:v>
      </x:c>
      <x:c r="L36" s="38" t="n">
        <x:v>0</x:v>
      </x:c>
      <x:c r="M36" s="40" t="n">
        <x:v>4120.648017</x:v>
      </x:c>
      <x:c r="N36" s="40" t="n">
        <x:v>250</x:v>
      </x:c>
      <x:c r="O36" s="40" t="n">
        <x:v>3870.648017</x:v>
      </x:c>
      <x:c r="P36" s="40" t="n">
        <x:f>SUM($O$7:O36)</x:f>
        <x:v>163316.75353699998</x:v>
      </x:c>
      <x:c r="Q36" s="40" t="n">
        <x:f>MAX(0,MAX($P$7:P36))-P36</x:f>
        <x:v>0</x:v>
      </x:c>
      <x:c r="R36" s="38" t="n">
        <x:v>1</x:v>
      </x:c>
      <x:c r="S36" s="38" t="n">
        <x:v>0</x:v>
      </x:c>
      <x:c r="T36" s="40" t="n">
        <x:v>4120.648017</x:v>
      </x:c>
      <x:c r="U36" s="40" t="n">
        <x:v>250</x:v>
      </x:c>
      <x:c r="V36" s="40" t="n">
        <x:v>3870.648017</x:v>
      </x:c>
      <x:c r="W36" s="40" t="n">
        <x:f>SUM($V$7:V36)</x:f>
        <x:v>176220.05617299996</x:v>
      </x:c>
      <x:c r="X36" s="40" t="n">
        <x:f>MAX(0,MAX($W$7:W36))-W36</x:f>
        <x:v>0</x:v>
      </x:c>
      <x:c r="Y36" s="40" t="n">
        <x:f>O36-H36</x:f>
        <x:v>0</x:v>
      </x:c>
      <x:c r="Z36" s="40" t="n">
        <x:f>P36-I36</x:f>
        <x:v>7955.8859949999605</x:v>
      </x:c>
      <x:c r="AA36" s="40" t="n">
        <x:f>V36-H36</x:f>
        <x:v>0</x:v>
      </x:c>
      <x:c r="AB36" s="40" t="n">
        <x:f>W36-I36</x:f>
        <x:v>20859.18863099994</x:v>
      </x:c>
    </x:row>
    <x:row r="37">
      <x:c r="A37" s="35" t="n">
        <x:v>46276</x:v>
      </x:c>
      <x:c r="B37" s="37" t="n">
        <x:v>3</x:v>
      </x:c>
      <x:c r="C37" s="37" t="n">
        <x:v>2</x:v>
      </x:c>
      <x:c r="D37" s="37" t="n">
        <x:v>2</x:v>
      </x:c>
      <x:c r="E37" s="37" t="n">
        <x:v>0</x:v>
      </x:c>
      <x:c r="F37" s="39" t="n">
        <x:v>16236.887613</x:v>
      </x:c>
      <x:c r="G37" s="39" t="n">
        <x:v>500</x:v>
      </x:c>
      <x:c r="H37" s="39" t="n">
        <x:v>15736.887613</x:v>
      </x:c>
      <x:c r="I37" s="39" t="n">
        <x:f>SUM($H$7:H37)</x:f>
        <x:v>171097.75515500002</x:v>
      </x:c>
      <x:c r="J37" s="39" t="n">
        <x:f>MAX(0,MAX($I$7:I37))-I37</x:f>
        <x:v>0</x:v>
      </x:c>
      <x:c r="K37" s="37" t="n">
        <x:v>2</x:v>
      </x:c>
      <x:c r="L37" s="37" t="n">
        <x:v>0</x:v>
      </x:c>
      <x:c r="M37" s="39" t="n">
        <x:v>16236.887613</x:v>
      </x:c>
      <x:c r="N37" s="39" t="n">
        <x:v>500</x:v>
      </x:c>
      <x:c r="O37" s="39" t="n">
        <x:v>15736.887613</x:v>
      </x:c>
      <x:c r="P37" s="39" t="n">
        <x:f>SUM($O$7:O37)</x:f>
        <x:v>179053.64114999998</x:v>
      </x:c>
      <x:c r="Q37" s="39" t="n">
        <x:f>MAX(0,MAX($P$7:P37))-P37</x:f>
        <x:v>0</x:v>
      </x:c>
      <x:c r="R37" s="37" t="n">
        <x:v>2</x:v>
      </x:c>
      <x:c r="S37" s="37" t="n">
        <x:v>0</x:v>
      </x:c>
      <x:c r="T37" s="39" t="n">
        <x:v>16236.887613</x:v>
      </x:c>
      <x:c r="U37" s="39" t="n">
        <x:v>500</x:v>
      </x:c>
      <x:c r="V37" s="39" t="n">
        <x:v>15736.887613</x:v>
      </x:c>
      <x:c r="W37" s="39" t="n">
        <x:f>SUM($V$7:V37)</x:f>
        <x:v>191956.94378599996</x:v>
      </x:c>
      <x:c r="X37" s="39" t="n">
        <x:f>MAX(0,MAX($W$7:W37))-W37</x:f>
        <x:v>0</x:v>
      </x:c>
      <x:c r="Y37" s="39" t="n">
        <x:f>O37-H37</x:f>
        <x:v>0</x:v>
      </x:c>
      <x:c r="Z37" s="39" t="n">
        <x:f>P37-I37</x:f>
        <x:v>7955.8859949999605</x:v>
      </x:c>
      <x:c r="AA37" s="39" t="n">
        <x:f>V37-H37</x:f>
        <x:v>0</x:v>
      </x:c>
      <x:c r="AB37" s="39" t="n">
        <x:f>W37-I37</x:f>
        <x:v>20859.18863099994</x:v>
      </x:c>
    </x:row>
    <x:row r="38">
      <x:c r="A38" s="36" t="n">
        <x:v>46280</x:v>
      </x:c>
      <x:c r="B38" s="38" t="n">
        <x:v>4</x:v>
      </x:c>
      <x:c r="C38" s="38" t="n">
        <x:v>4</x:v>
      </x:c>
      <x:c r="D38" s="38" t="n">
        <x:v>4</x:v>
      </x:c>
      <x:c r="E38" s="38" t="n">
        <x:v>0</x:v>
      </x:c>
      <x:c r="F38" s="40" t="n">
        <x:v>27763.167035</x:v>
      </x:c>
      <x:c r="G38" s="40" t="n">
        <x:v>1000</x:v>
      </x:c>
      <x:c r="H38" s="40" t="n">
        <x:v>26763.167035</x:v>
      </x:c>
      <x:c r="I38" s="40" t="n">
        <x:f>SUM($H$7:H38)</x:f>
        <x:v>197860.92219</x:v>
      </x:c>
      <x:c r="J38" s="40" t="n">
        <x:f>MAX(0,MAX($I$7:I38))-I38</x:f>
        <x:v>0</x:v>
      </x:c>
      <x:c r="K38" s="38" t="n">
        <x:v>4</x:v>
      </x:c>
      <x:c r="L38" s="38" t="n">
        <x:v>0</x:v>
      </x:c>
      <x:c r="M38" s="40" t="n">
        <x:v>27763.167035</x:v>
      </x:c>
      <x:c r="N38" s="40" t="n">
        <x:v>1000</x:v>
      </x:c>
      <x:c r="O38" s="40" t="n">
        <x:v>26763.167035</x:v>
      </x:c>
      <x:c r="P38" s="40" t="n">
        <x:f>SUM($O$7:O38)</x:f>
        <x:v>205816.80818499997</x:v>
      </x:c>
      <x:c r="Q38" s="40" t="n">
        <x:f>MAX(0,MAX($P$7:P38))-P38</x:f>
        <x:v>0</x:v>
      </x:c>
      <x:c r="R38" s="38" t="n">
        <x:v>4</x:v>
      </x:c>
      <x:c r="S38" s="38" t="n">
        <x:v>0</x:v>
      </x:c>
      <x:c r="T38" s="40" t="n">
        <x:v>27763.167035</x:v>
      </x:c>
      <x:c r="U38" s="40" t="n">
        <x:v>1000</x:v>
      </x:c>
      <x:c r="V38" s="40" t="n">
        <x:v>26763.167035</x:v>
      </x:c>
      <x:c r="W38" s="40" t="n">
        <x:f>SUM($V$7:V38)</x:f>
        <x:v>218720.11082099995</x:v>
      </x:c>
      <x:c r="X38" s="40" t="n">
        <x:f>MAX(0,MAX($W$7:W38))-W38</x:f>
        <x:v>0</x:v>
      </x:c>
      <x:c r="Y38" s="40" t="n">
        <x:f>O38-H38</x:f>
        <x:v>0</x:v>
      </x:c>
      <x:c r="Z38" s="40" t="n">
        <x:f>P38-I38</x:f>
        <x:v>7955.8859949999605</x:v>
      </x:c>
      <x:c r="AA38" s="40" t="n">
        <x:f>V38-H38</x:f>
        <x:v>0</x:v>
      </x:c>
      <x:c r="AB38" s="40" t="n">
        <x:f>W38-I38</x:f>
        <x:v>20859.18863099994</x:v>
      </x:c>
    </x:row>
    <x:row r="39">
      <x:c r="A39" s="35" t="n">
        <x:v>46281</x:v>
      </x:c>
      <x:c r="B39" s="37" t="n">
        <x:v>1</x:v>
      </x:c>
      <x:c r="C39" s="37" t="n">
        <x:v>1</x:v>
      </x:c>
      <x:c r="D39" s="37" t="n">
        <x:v>0</x:v>
      </x:c>
      <x:c r="E39" s="37" t="n">
        <x:v>1</x:v>
      </x:c>
      <x:c r="F39" s="39" t="n">
        <x:v>-1526.306339</x:v>
      </x:c>
      <x:c r="G39" s="39" t="n">
        <x:v>250</x:v>
      </x:c>
      <x:c r="H39" s="39" t="n">
        <x:v>-1776.306339</x:v>
      </x:c>
      <x:c r="I39" s="39" t="n">
        <x:f>SUM($H$7:H39)</x:f>
        <x:v>196084.615851</x:v>
      </x:c>
      <x:c r="J39" s="39" t="n">
        <x:f>MAX(0,MAX($I$7:I39))-I39</x:f>
        <x:v>1776.3063390000025</x:v>
      </x:c>
      <x:c r="K39" s="37" t="n">
        <x:v>0</x:v>
      </x:c>
      <x:c r="L39" s="37" t="n">
        <x:v>1</x:v>
      </x:c>
      <x:c r="M39" s="39" t="n">
        <x:v>-1526.306339</x:v>
      </x:c>
      <x:c r="N39" s="39" t="n">
        <x:v>250</x:v>
      </x:c>
      <x:c r="O39" s="39" t="n">
        <x:v>-1776.306339</x:v>
      </x:c>
      <x:c r="P39" s="39" t="n">
        <x:f>SUM($O$7:O39)</x:f>
        <x:v>204040.50184599997</x:v>
      </x:c>
      <x:c r="Q39" s="39" t="n">
        <x:f>MAX(0,MAX($P$7:P39))-P39</x:f>
        <x:v>1776.3063390000025</x:v>
      </x:c>
      <x:c r="R39" s="37" t="n">
        <x:v>0</x:v>
      </x:c>
      <x:c r="S39" s="37" t="n">
        <x:v>1</x:v>
      </x:c>
      <x:c r="T39" s="39" t="n">
        <x:v>-1526.306339</x:v>
      </x:c>
      <x:c r="U39" s="39" t="n">
        <x:v>250</x:v>
      </x:c>
      <x:c r="V39" s="39" t="n">
        <x:v>-1776.306339</x:v>
      </x:c>
      <x:c r="W39" s="39" t="n">
        <x:f>SUM($V$7:V39)</x:f>
        <x:v>216943.80448199995</x:v>
      </x:c>
      <x:c r="X39" s="39" t="n">
        <x:f>MAX(0,MAX($W$7:W39))-W39</x:f>
        <x:v>1776.3063390000025</x:v>
      </x:c>
      <x:c r="Y39" s="39" t="n">
        <x:f>O39-H39</x:f>
        <x:v>0</x:v>
      </x:c>
      <x:c r="Z39" s="39" t="n">
        <x:f>P39-I39</x:f>
        <x:v>7955.8859949999605</x:v>
      </x:c>
      <x:c r="AA39" s="39" t="n">
        <x:f>V39-H39</x:f>
        <x:v>0</x:v>
      </x:c>
      <x:c r="AB39" s="39" t="n">
        <x:f>W39-I39</x:f>
        <x:v>20859.18863099994</x:v>
      </x:c>
    </x:row>
    <x:row r="40">
      <x:c r="A40" s="36" t="n">
        <x:v>46282</x:v>
      </x:c>
      <x:c r="B40" s="38" t="n">
        <x:v>1</x:v>
      </x:c>
      <x:c r="C40" s="38" t="n">
        <x:v>1</x:v>
      </x:c>
      <x:c r="D40" s="38" t="n">
        <x:v>0</x:v>
      </x:c>
      <x:c r="E40" s="38" t="n">
        <x:v>1</x:v>
      </x:c>
      <x:c r="F40" s="40" t="n">
        <x:v>-5000</x:v>
      </x:c>
      <x:c r="G40" s="40" t="n">
        <x:v>250</x:v>
      </x:c>
      <x:c r="H40" s="40" t="n">
        <x:v>-5250</x:v>
      </x:c>
      <x:c r="I40" s="40" t="n">
        <x:f>SUM($H$7:H40)</x:f>
        <x:v>190834.615851</x:v>
      </x:c>
      <x:c r="J40" s="40" t="n">
        <x:f>MAX(0,MAX($I$7:I40))-I40</x:f>
        <x:v>7026.3063390000025</x:v>
      </x:c>
      <x:c r="K40" s="38" t="n">
        <x:v>0</x:v>
      </x:c>
      <x:c r="L40" s="38" t="n">
        <x:v>1</x:v>
      </x:c>
      <x:c r="M40" s="40" t="n">
        <x:v>-6250</x:v>
      </x:c>
      <x:c r="N40" s="40" t="n">
        <x:v>250</x:v>
      </x:c>
      <x:c r="O40" s="40" t="n">
        <x:v>-6500</x:v>
      </x:c>
      <x:c r="P40" s="40" t="n">
        <x:f>SUM($O$7:O40)</x:f>
        <x:v>197540.50184599997</x:v>
      </x:c>
      <x:c r="Q40" s="40" t="n">
        <x:f>MAX(0,MAX($P$7:P40))-P40</x:f>
        <x:v>8276.306339000002</x:v>
      </x:c>
      <x:c r="R40" s="38" t="n">
        <x:v>0</x:v>
      </x:c>
      <x:c r="S40" s="38" t="n">
        <x:v>1</x:v>
      </x:c>
      <x:c r="T40" s="40" t="n">
        <x:v>-5225.342913</x:v>
      </x:c>
      <x:c r="U40" s="40" t="n">
        <x:v>250</x:v>
      </x:c>
      <x:c r="V40" s="40" t="n">
        <x:v>-5475.342913</x:v>
      </x:c>
      <x:c r="W40" s="40" t="n">
        <x:f>SUM($V$7:V40)</x:f>
        <x:v>211468.46156899995</x:v>
      </x:c>
      <x:c r="X40" s="40" t="n">
        <x:f>MAX(0,MAX($W$7:W40))-W40</x:f>
        <x:v>7251.649252000003</x:v>
      </x:c>
      <x:c r="Y40" s="40" t="n">
        <x:f>O40-H40</x:f>
        <x:v>-1250</x:v>
      </x:c>
      <x:c r="Z40" s="40" t="n">
        <x:f>P40-I40</x:f>
        <x:v>6705.8859949999605</x:v>
      </x:c>
      <x:c r="AA40" s="40" t="n">
        <x:f>V40-H40</x:f>
        <x:v>-225.3429130000004</x:v>
      </x:c>
      <x:c r="AB40" s="40" t="n">
        <x:f>W40-I40</x:f>
        <x:v>20633.84571799994</x:v>
      </x:c>
    </x:row>
    <x:row r="41">
      <x:c r="A41" s="35" t="n">
        <x:v>46283</x:v>
      </x:c>
      <x:c r="B41" s="37" t="n">
        <x:v>3</x:v>
      </x:c>
      <x:c r="C41" s="37" t="n">
        <x:v>3</x:v>
      </x:c>
      <x:c r="D41" s="37" t="n">
        <x:v>1</x:v>
      </x:c>
      <x:c r="E41" s="37" t="n">
        <x:v>2</x:v>
      </x:c>
      <x:c r="F41" s="39" t="n">
        <x:v>-968.605218</x:v>
      </x:c>
      <x:c r="G41" s="39" t="n">
        <x:v>750</x:v>
      </x:c>
      <x:c r="H41" s="39" t="n">
        <x:v>-1718.605218</x:v>
      </x:c>
      <x:c r="I41" s="39" t="n">
        <x:f>SUM($H$7:H41)</x:f>
        <x:v>189116.010633</x:v>
      </x:c>
      <x:c r="J41" s="39" t="n">
        <x:f>MAX(0,MAX($I$7:I41))-I41</x:f>
        <x:v>8744.911557000014</x:v>
      </x:c>
      <x:c r="K41" s="37" t="n">
        <x:v>1</x:v>
      </x:c>
      <x:c r="L41" s="37" t="n">
        <x:v>2</x:v>
      </x:c>
      <x:c r="M41" s="39" t="n">
        <x:v>-2218.605218</x:v>
      </x:c>
      <x:c r="N41" s="39" t="n">
        <x:v>750</x:v>
      </x:c>
      <x:c r="O41" s="39" t="n">
        <x:v>-2968.605218</x:v>
      </x:c>
      <x:c r="P41" s="39" t="n">
        <x:f>SUM($O$7:O41)</x:f>
        <x:v>194571.89662799996</x:v>
      </x:c>
      <x:c r="Q41" s="39" t="n">
        <x:f>MAX(0,MAX($P$7:P41))-P41</x:f>
        <x:v>11244.911557000014</x:v>
      </x:c>
      <x:c r="R41" s="37" t="n">
        <x:v>1</x:v>
      </x:c>
      <x:c r="S41" s="37" t="n">
        <x:v>2</x:v>
      </x:c>
      <x:c r="T41" s="39" t="n">
        <x:v>181.294392</x:v>
      </x:c>
      <x:c r="U41" s="39" t="n">
        <x:v>750</x:v>
      </x:c>
      <x:c r="V41" s="39" t="n">
        <x:v>-568.705608</x:v>
      </x:c>
      <x:c r="W41" s="39" t="n">
        <x:f>SUM($V$7:V41)</x:f>
        <x:v>210899.75596099996</x:v>
      </x:c>
      <x:c r="X41" s="39" t="n">
        <x:f>MAX(0,MAX($W$7:W41))-W41</x:f>
        <x:v>7820.354859999992</x:v>
      </x:c>
      <x:c r="Y41" s="39" t="n">
        <x:f>O41-H41</x:f>
        <x:v>-1250.0000000000002</x:v>
      </x:c>
      <x:c r="Z41" s="39" t="n">
        <x:f>P41-I41</x:f>
        <x:v>5455.8859949999605</x:v>
      </x:c>
      <x:c r="AA41" s="39" t="n">
        <x:f>V41-H41</x:f>
        <x:v>1149.89961</x:v>
      </x:c>
      <x:c r="AB41" s="39" t="n">
        <x:f>W41-I41</x:f>
        <x:v>21783.74532799996</x:v>
      </x:c>
    </x:row>
    <x:row r="42">
      <x:c r="A42" s="36" t="n">
        <x:v>46286</x:v>
      </x:c>
      <x:c r="B42" s="38" t="n">
        <x:v>0</x:v>
      </x:c>
      <x:c r="C42" s="38" t="n">
        <x:v>0</x:v>
      </x:c>
      <x:c r="D42" s="38" t="n">
        <x:v>0</x:v>
      </x:c>
      <x:c r="E42" s="38" t="n">
        <x:v>0</x:v>
      </x:c>
      <x:c r="F42" s="40" t="n">
        <x:v>0</x:v>
      </x:c>
      <x:c r="G42" s="40" t="n">
        <x:v>0</x:v>
      </x:c>
      <x:c r="H42" s="40" t="n">
        <x:v>0</x:v>
      </x:c>
      <x:c r="I42" s="40" t="n">
        <x:f>SUM($H$7:H42)</x:f>
        <x:v>189116.010633</x:v>
      </x:c>
      <x:c r="J42" s="40" t="n">
        <x:f>MAX(0,MAX($I$7:I42))-I42</x:f>
        <x:v>8744.911557000014</x:v>
      </x:c>
      <x:c r="K42" s="38" t="n">
        <x:v>0</x:v>
      </x:c>
      <x:c r="L42" s="38" t="n">
        <x:v>0</x:v>
      </x:c>
      <x:c r="M42" s="40" t="n">
        <x:v>0</x:v>
      </x:c>
      <x:c r="N42" s="40" t="n">
        <x:v>0</x:v>
      </x:c>
      <x:c r="O42" s="40" t="n">
        <x:v>0</x:v>
      </x:c>
      <x:c r="P42" s="40" t="n">
        <x:f>SUM($O$7:O42)</x:f>
        <x:v>194571.89662799996</x:v>
      </x:c>
      <x:c r="Q42" s="40" t="n">
        <x:f>MAX(0,MAX($P$7:P42))-P42</x:f>
        <x:v>11244.911557000014</x:v>
      </x:c>
      <x:c r="R42" s="38" t="n">
        <x:v>0</x:v>
      </x:c>
      <x:c r="S42" s="38" t="n">
        <x:v>0</x:v>
      </x:c>
      <x:c r="T42" s="40" t="n">
        <x:v>0</x:v>
      </x:c>
      <x:c r="U42" s="40" t="n">
        <x:v>0</x:v>
      </x:c>
      <x:c r="V42" s="40" t="n">
        <x:v>0</x:v>
      </x:c>
      <x:c r="W42" s="40" t="n">
        <x:f>SUM($V$7:V42)</x:f>
        <x:v>210899.75596099996</x:v>
      </x:c>
      <x:c r="X42" s="40" t="n">
        <x:f>MAX(0,MAX($W$7:W42))-W42</x:f>
        <x:v>7820.354859999992</x:v>
      </x:c>
      <x:c r="Y42" s="40" t="n">
        <x:f>O42-H42</x:f>
        <x:v>0</x:v>
      </x:c>
      <x:c r="Z42" s="40" t="n">
        <x:f>P42-I42</x:f>
        <x:v>5455.8859949999605</x:v>
      </x:c>
      <x:c r="AA42" s="40" t="n">
        <x:f>V42-H42</x:f>
        <x:v>0</x:v>
      </x:c>
      <x:c r="AB42" s="40" t="n">
        <x:f>W42-I42</x:f>
        <x:v>21783.74532799996</x:v>
      </x:c>
    </x:row>
    <x:row r="43">
      <x:c r="A43" s="35" t="n">
        <x:v>46287</x:v>
      </x:c>
      <x:c r="B43" s="37" t="n">
        <x:v>0</x:v>
      </x:c>
      <x:c r="C43" s="37" t="n">
        <x:v>0</x:v>
      </x:c>
      <x:c r="D43" s="37" t="n">
        <x:v>0</x:v>
      </x:c>
      <x:c r="E43" s="37" t="n">
        <x:v>0</x:v>
      </x:c>
      <x:c r="F43" s="39" t="n">
        <x:v>0</x:v>
      </x:c>
      <x:c r="G43" s="39" t="n">
        <x:v>0</x:v>
      </x:c>
      <x:c r="H43" s="39" t="n">
        <x:v>0</x:v>
      </x:c>
      <x:c r="I43" s="39" t="n">
        <x:f>SUM($H$7:H43)</x:f>
        <x:v>189116.010633</x:v>
      </x:c>
      <x:c r="J43" s="39" t="n">
        <x:f>MAX(0,MAX($I$7:I43))-I43</x:f>
        <x:v>8744.911557000014</x:v>
      </x:c>
      <x:c r="K43" s="37" t="n">
        <x:v>0</x:v>
      </x:c>
      <x:c r="L43" s="37" t="n">
        <x:v>0</x:v>
      </x:c>
      <x:c r="M43" s="39" t="n">
        <x:v>0</x:v>
      </x:c>
      <x:c r="N43" s="39" t="n">
        <x:v>0</x:v>
      </x:c>
      <x:c r="O43" s="39" t="n">
        <x:v>0</x:v>
      </x:c>
      <x:c r="P43" s="39" t="n">
        <x:f>SUM($O$7:O43)</x:f>
        <x:v>194571.89662799996</x:v>
      </x:c>
      <x:c r="Q43" s="39" t="n">
        <x:f>MAX(0,MAX($P$7:P43))-P43</x:f>
        <x:v>11244.911557000014</x:v>
      </x:c>
      <x:c r="R43" s="37" t="n">
        <x:v>0</x:v>
      </x:c>
      <x:c r="S43" s="37" t="n">
        <x:v>0</x:v>
      </x:c>
      <x:c r="T43" s="39" t="n">
        <x:v>0</x:v>
      </x:c>
      <x:c r="U43" s="39" t="n">
        <x:v>0</x:v>
      </x:c>
      <x:c r="V43" s="39" t="n">
        <x:v>0</x:v>
      </x:c>
      <x:c r="W43" s="39" t="n">
        <x:f>SUM($V$7:V43)</x:f>
        <x:v>210899.75596099996</x:v>
      </x:c>
      <x:c r="X43" s="39" t="n">
        <x:f>MAX(0,MAX($W$7:W43))-W43</x:f>
        <x:v>7820.354859999992</x:v>
      </x:c>
      <x:c r="Y43" s="39" t="n">
        <x:f>O43-H43</x:f>
        <x:v>0</x:v>
      </x:c>
      <x:c r="Z43" s="39" t="n">
        <x:f>P43-I43</x:f>
        <x:v>5455.8859949999605</x:v>
      </x:c>
      <x:c r="AA43" s="39" t="n">
        <x:f>V43-H43</x:f>
        <x:v>0</x:v>
      </x:c>
      <x:c r="AB43" s="39" t="n">
        <x:f>W43-I43</x:f>
        <x:v>21783.74532799996</x:v>
      </x:c>
    </x:row>
    <x:row r="44">
      <x:c r="A44" s="36" t="n">
        <x:v>46288</x:v>
      </x:c>
      <x:c r="B44" s="38" t="n">
        <x:v>1</x:v>
      </x:c>
      <x:c r="C44" s="38" t="n">
        <x:v>0</x:v>
      </x:c>
      <x:c r="D44" s="38" t="n">
        <x:v>0</x:v>
      </x:c>
      <x:c r="E44" s="38" t="n">
        <x:v>0</x:v>
      </x:c>
      <x:c r="F44" s="40" t="n">
        <x:v>0</x:v>
      </x:c>
      <x:c r="G44" s="40" t="n">
        <x:v>0</x:v>
      </x:c>
      <x:c r="H44" s="40" t="n">
        <x:v>0</x:v>
      </x:c>
      <x:c r="I44" s="40" t="n">
        <x:f>SUM($H$7:H44)</x:f>
        <x:v>189116.010633</x:v>
      </x:c>
      <x:c r="J44" s="40" t="n">
        <x:f>MAX(0,MAX($I$7:I44))-I44</x:f>
        <x:v>8744.911557000014</x:v>
      </x:c>
      <x:c r="K44" s="38" t="n">
        <x:v>0</x:v>
      </x:c>
      <x:c r="L44" s="38" t="n">
        <x:v>0</x:v>
      </x:c>
      <x:c r="M44" s="40" t="n">
        <x:v>0</x:v>
      </x:c>
      <x:c r="N44" s="40" t="n">
        <x:v>0</x:v>
      </x:c>
      <x:c r="O44" s="40" t="n">
        <x:v>0</x:v>
      </x:c>
      <x:c r="P44" s="40" t="n">
        <x:f>SUM($O$7:O44)</x:f>
        <x:v>194571.89662799996</x:v>
      </x:c>
      <x:c r="Q44" s="40" t="n">
        <x:f>MAX(0,MAX($P$7:P44))-P44</x:f>
        <x:v>11244.911557000014</x:v>
      </x:c>
      <x:c r="R44" s="38" t="n">
        <x:v>0</x:v>
      </x:c>
      <x:c r="S44" s="38" t="n">
        <x:v>0</x:v>
      </x:c>
      <x:c r="T44" s="40" t="n">
        <x:v>0</x:v>
      </x:c>
      <x:c r="U44" s="40" t="n">
        <x:v>0</x:v>
      </x:c>
      <x:c r="V44" s="40" t="n">
        <x:v>0</x:v>
      </x:c>
      <x:c r="W44" s="40" t="n">
        <x:f>SUM($V$7:V44)</x:f>
        <x:v>210899.75596099996</x:v>
      </x:c>
      <x:c r="X44" s="40" t="n">
        <x:f>MAX(0,MAX($W$7:W44))-W44</x:f>
        <x:v>7820.354859999992</x:v>
      </x:c>
      <x:c r="Y44" s="40" t="n">
        <x:f>O44-H44</x:f>
        <x:v>0</x:v>
      </x:c>
      <x:c r="Z44" s="40" t="n">
        <x:f>P44-I44</x:f>
        <x:v>5455.8859949999605</x:v>
      </x:c>
      <x:c r="AA44" s="40" t="n">
        <x:f>V44-H44</x:f>
        <x:v>0</x:v>
      </x:c>
      <x:c r="AB44" s="40" t="n">
        <x:f>W44-I44</x:f>
        <x:v>21783.74532799996</x:v>
      </x:c>
    </x:row>
    <x:row r="45">
      <x:c r="A45" s="35" t="n">
        <x:v>46289</x:v>
      </x:c>
      <x:c r="B45" s="37" t="n">
        <x:v>2</x:v>
      </x:c>
      <x:c r="C45" s="37" t="n">
        <x:v>1</x:v>
      </x:c>
      <x:c r="D45" s="37" t="n">
        <x:v>1</x:v>
      </x:c>
      <x:c r="E45" s="37" t="n">
        <x:v>0</x:v>
      </x:c>
      <x:c r="F45" s="39" t="n">
        <x:v>7664.156766</x:v>
      </x:c>
      <x:c r="G45" s="39" t="n">
        <x:v>250</x:v>
      </x:c>
      <x:c r="H45" s="39" t="n">
        <x:v>7414.156766</x:v>
      </x:c>
      <x:c r="I45" s="39" t="n">
        <x:f>SUM($H$7:H45)</x:f>
        <x:v>196530.167399</x:v>
      </x:c>
      <x:c r="J45" s="39" t="n">
        <x:f>MAX(0,MAX($I$7:I45))-I45</x:f>
        <x:v>1330.754791000014</x:v>
      </x:c>
      <x:c r="K45" s="37" t="n">
        <x:v>1</x:v>
      </x:c>
      <x:c r="L45" s="37" t="n">
        <x:v>0</x:v>
      </x:c>
      <x:c r="M45" s="39" t="n">
        <x:v>7664.156766</x:v>
      </x:c>
      <x:c r="N45" s="39" t="n">
        <x:v>250</x:v>
      </x:c>
      <x:c r="O45" s="39" t="n">
        <x:v>7414.156766</x:v>
      </x:c>
      <x:c r="P45" s="39" t="n">
        <x:f>SUM($O$7:O45)</x:f>
        <x:v>201986.05339399996</x:v>
      </x:c>
      <x:c r="Q45" s="39" t="n">
        <x:f>MAX(0,MAX($P$7:P45))-P45</x:f>
        <x:v>3830.754791000014</x:v>
      </x:c>
      <x:c r="R45" s="37" t="n">
        <x:v>1</x:v>
      </x:c>
      <x:c r="S45" s="37" t="n">
        <x:v>0</x:v>
      </x:c>
      <x:c r="T45" s="39" t="n">
        <x:v>7664.156766</x:v>
      </x:c>
      <x:c r="U45" s="39" t="n">
        <x:v>250</x:v>
      </x:c>
      <x:c r="V45" s="39" t="n">
        <x:v>7414.156766</x:v>
      </x:c>
      <x:c r="W45" s="39" t="n">
        <x:f>SUM($V$7:V45)</x:f>
        <x:v>218313.91272699996</x:v>
      </x:c>
      <x:c r="X45" s="39" t="n">
        <x:f>MAX(0,MAX($W$7:W45))-W45</x:f>
        <x:v>406.1980939999921</x:v>
      </x:c>
      <x:c r="Y45" s="39" t="n">
        <x:f>O45-H45</x:f>
        <x:v>0</x:v>
      </x:c>
      <x:c r="Z45" s="39" t="n">
        <x:f>P45-I45</x:f>
        <x:v>5455.8859949999605</x:v>
      </x:c>
      <x:c r="AA45" s="39" t="n">
        <x:f>V45-H45</x:f>
        <x:v>0</x:v>
      </x:c>
      <x:c r="AB45" s="39" t="n">
        <x:f>W45-I45</x:f>
        <x:v>21783.74532799996</x:v>
      </x:c>
    </x:row>
    <x:row r="46">
      <x:c r="A46" s="36" t="n">
        <x:v>46290</x:v>
      </x:c>
      <x:c r="B46" s="38" t="n">
        <x:v>2</x:v>
      </x:c>
      <x:c r="C46" s="38" t="n">
        <x:v>2</x:v>
      </x:c>
      <x:c r="D46" s="38" t="n">
        <x:v>2</x:v>
      </x:c>
      <x:c r="E46" s="38" t="n">
        <x:v>0</x:v>
      </x:c>
      <x:c r="F46" s="40" t="n">
        <x:v>14650</x:v>
      </x:c>
      <x:c r="G46" s="40" t="n">
        <x:v>500</x:v>
      </x:c>
      <x:c r="H46" s="40" t="n">
        <x:v>14150</x:v>
      </x:c>
      <x:c r="I46" s="40" t="n">
        <x:f>SUM($H$7:H46)</x:f>
        <x:v>210680.167399</x:v>
      </x:c>
      <x:c r="J46" s="40" t="n">
        <x:f>MAX(0,MAX($I$7:I46))-I46</x:f>
        <x:v>0</x:v>
      </x:c>
      <x:c r="K46" s="38" t="n">
        <x:v>2</x:v>
      </x:c>
      <x:c r="L46" s="38" t="n">
        <x:v>0</x:v>
      </x:c>
      <x:c r="M46" s="40" t="n">
        <x:v>14650</x:v>
      </x:c>
      <x:c r="N46" s="40" t="n">
        <x:v>500</x:v>
      </x:c>
      <x:c r="O46" s="40" t="n">
        <x:v>14150</x:v>
      </x:c>
      <x:c r="P46" s="40" t="n">
        <x:f>SUM($O$7:O46)</x:f>
        <x:v>216136.05339399996</x:v>
      </x:c>
      <x:c r="Q46" s="40" t="n">
        <x:f>MAX(0,MAX($P$7:P46))-P46</x:f>
        <x:v>0</x:v>
      </x:c>
      <x:c r="R46" s="38" t="n">
        <x:v>2</x:v>
      </x:c>
      <x:c r="S46" s="38" t="n">
        <x:v>0</x:v>
      </x:c>
      <x:c r="T46" s="40" t="n">
        <x:v>14650</x:v>
      </x:c>
      <x:c r="U46" s="40" t="n">
        <x:v>500</x:v>
      </x:c>
      <x:c r="V46" s="40" t="n">
        <x:v>14150</x:v>
      </x:c>
      <x:c r="W46" s="40" t="n">
        <x:f>SUM($V$7:V46)</x:f>
        <x:v>232463.91272699996</x:v>
      </x:c>
      <x:c r="X46" s="40" t="n">
        <x:f>MAX(0,MAX($W$7:W46))-W46</x:f>
        <x:v>0</x:v>
      </x:c>
      <x:c r="Y46" s="40" t="n">
        <x:f>O46-H46</x:f>
        <x:v>0</x:v>
      </x:c>
      <x:c r="Z46" s="40" t="n">
        <x:f>P46-I46</x:f>
        <x:v>5455.8859949999605</x:v>
      </x:c>
      <x:c r="AA46" s="40" t="n">
        <x:f>V46-H46</x:f>
        <x:v>0</x:v>
      </x:c>
      <x:c r="AB46" s="40" t="n">
        <x:f>W46-I46</x:f>
        <x:v>21783.74532799996</x:v>
      </x:c>
    </x:row>
    <x:row r="47">
      <x:c r="A47" s="35" t="n">
        <x:v>46293</x:v>
      </x:c>
      <x:c r="B47" s="37" t="n">
        <x:v>2</x:v>
      </x:c>
      <x:c r="C47" s="37" t="n">
        <x:v>2</x:v>
      </x:c>
      <x:c r="D47" s="37" t="n">
        <x:v>0</x:v>
      </x:c>
      <x:c r="E47" s="37" t="n">
        <x:v>2</x:v>
      </x:c>
      <x:c r="F47" s="39" t="n">
        <x:v>-10029.025345</x:v>
      </x:c>
      <x:c r="G47" s="39" t="n">
        <x:v>500</x:v>
      </x:c>
      <x:c r="H47" s="39" t="n">
        <x:v>-10529.025345</x:v>
      </x:c>
      <x:c r="I47" s="39" t="n">
        <x:f>SUM($H$7:H47)</x:f>
        <x:v>200151.142054</x:v>
      </x:c>
      <x:c r="J47" s="39" t="n">
        <x:f>MAX(0,MAX($I$7:I47))-I47</x:f>
        <x:v>10529.025345000002</x:v>
      </x:c>
      <x:c r="K47" s="37" t="n">
        <x:v>0</x:v>
      </x:c>
      <x:c r="L47" s="37" t="n">
        <x:v>2</x:v>
      </x:c>
      <x:c r="M47" s="39" t="n">
        <x:v>-12500</x:v>
      </x:c>
      <x:c r="N47" s="39" t="n">
        <x:v>500</x:v>
      </x:c>
      <x:c r="O47" s="39" t="n">
        <x:v>-13000</x:v>
      </x:c>
      <x:c r="P47" s="39" t="n">
        <x:f>SUM($O$7:O47)</x:f>
        <x:v>203136.05339399996</x:v>
      </x:c>
      <x:c r="Q47" s="39" t="n">
        <x:f>MAX(0,MAX($P$7:P47))-P47</x:f>
        <x:v>13000</x:v>
      </x:c>
      <x:c r="R47" s="37" t="n">
        <x:v>0</x:v>
      </x:c>
      <x:c r="S47" s="37" t="n">
        <x:v>2</x:v>
      </x:c>
      <x:c r="T47" s="39" t="n">
        <x:v>-8459.058541</x:v>
      </x:c>
      <x:c r="U47" s="39" t="n">
        <x:v>500</x:v>
      </x:c>
      <x:c r="V47" s="39" t="n">
        <x:v>-8959.058541</x:v>
      </x:c>
      <x:c r="W47" s="39" t="n">
        <x:f>SUM($V$7:V47)</x:f>
        <x:v>223504.85418599995</x:v>
      </x:c>
      <x:c r="X47" s="39" t="n">
        <x:f>MAX(0,MAX($W$7:W47))-W47</x:f>
        <x:v>8959.058541000006</x:v>
      </x:c>
      <x:c r="Y47" s="39" t="n">
        <x:f>O47-H47</x:f>
        <x:v>-2470.974655</x:v>
      </x:c>
      <x:c r="Z47" s="39" t="n">
        <x:f>P47-I47</x:f>
        <x:v>2984.9113399999624</x:v>
      </x:c>
      <x:c r="AA47" s="39" t="n">
        <x:f>V47-H47</x:f>
        <x:v>1569.9668039999997</x:v>
      </x:c>
      <x:c r="AB47" s="39" t="n">
        <x:f>W47-I47</x:f>
        <x:v>23353.712131999957</x:v>
      </x:c>
    </x:row>
    <x:row r="48">
      <x:c r="A48" s="36" t="n">
        <x:v>46294</x:v>
      </x:c>
      <x:c r="B48" s="38" t="n">
        <x:v>1</x:v>
      </x:c>
      <x:c r="C48" s="38" t="n">
        <x:v>1</x:v>
      </x:c>
      <x:c r="D48" s="38" t="n">
        <x:v>0</x:v>
      </x:c>
      <x:c r="E48" s="38" t="n">
        <x:v>1</x:v>
      </x:c>
      <x:c r="F48" s="40" t="n">
        <x:v>-892.136071</x:v>
      </x:c>
      <x:c r="G48" s="40" t="n">
        <x:v>250</x:v>
      </x:c>
      <x:c r="H48" s="40" t="n">
        <x:v>-1142.136071</x:v>
      </x:c>
      <x:c r="I48" s="40" t="n">
        <x:f>SUM($H$7:H48)</x:f>
        <x:v>199009.005983</x:v>
      </x:c>
      <x:c r="J48" s="40" t="n">
        <x:f>MAX(0,MAX($I$7:I48))-I48</x:f>
        <x:v>11671.161415999988</x:v>
      </x:c>
      <x:c r="K48" s="38" t="n">
        <x:v>0</x:v>
      </x:c>
      <x:c r="L48" s="38" t="n">
        <x:v>1</x:v>
      </x:c>
      <x:c r="M48" s="40" t="n">
        <x:v>-892.136071</x:v>
      </x:c>
      <x:c r="N48" s="40" t="n">
        <x:v>250</x:v>
      </x:c>
      <x:c r="O48" s="40" t="n">
        <x:v>-1142.136071</x:v>
      </x:c>
      <x:c r="P48" s="40" t="n">
        <x:f>SUM($O$7:O48)</x:f>
        <x:v>201993.91732299997</x:v>
      </x:c>
      <x:c r="Q48" s="40" t="n">
        <x:f>MAX(0,MAX($P$7:P48))-P48</x:f>
        <x:v>14142.136070999986</x:v>
      </x:c>
      <x:c r="R48" s="38" t="n">
        <x:v>0</x:v>
      </x:c>
      <x:c r="S48" s="38" t="n">
        <x:v>1</x:v>
      </x:c>
      <x:c r="T48" s="40" t="n">
        <x:v>-892.136071</x:v>
      </x:c>
      <x:c r="U48" s="40" t="n">
        <x:v>250</x:v>
      </x:c>
      <x:c r="V48" s="40" t="n">
        <x:v>-1142.136071</x:v>
      </x:c>
      <x:c r="W48" s="40" t="n">
        <x:f>SUM($V$7:V48)</x:f>
        <x:v>222362.71811499997</x:v>
      </x:c>
      <x:c r="X48" s="40" t="n">
        <x:f>MAX(0,MAX($W$7:W48))-W48</x:f>
        <x:v>10101.194611999992</x:v>
      </x:c>
      <x:c r="Y48" s="40" t="n">
        <x:f>O48-H48</x:f>
        <x:v>0</x:v>
      </x:c>
      <x:c r="Z48" s="40" t="n">
        <x:f>P48-I48</x:f>
        <x:v>2984.9113399999624</x:v>
      </x:c>
      <x:c r="AA48" s="40" t="n">
        <x:f>V48-H48</x:f>
        <x:v>0</x:v>
      </x:c>
      <x:c r="AB48" s="40" t="n">
        <x:f>W48-I48</x:f>
        <x:v>23353.712131999957</x:v>
      </x:c>
    </x:row>
    <x:row r="49">
      <x:c r="A49" s="41" t="n">
        <x:v>46295</x:v>
      </x:c>
      <x:c r="B49" s="42" t="n">
        <x:v>2</x:v>
      </x:c>
      <x:c r="C49" s="42" t="n">
        <x:v>2</x:v>
      </x:c>
      <x:c r="D49" s="42" t="n">
        <x:v>2</x:v>
      </x:c>
      <x:c r="E49" s="42" t="n">
        <x:v>0</x:v>
      </x:c>
      <x:c r="F49" s="43" t="n">
        <x:v>22150</x:v>
      </x:c>
      <x:c r="G49" s="43" t="n">
        <x:v>500</x:v>
      </x:c>
      <x:c r="H49" s="43" t="n">
        <x:v>21650</x:v>
      </x:c>
      <x:c r="I49" s="43" t="n">
        <x:f>SUM($H$7:H49)</x:f>
        <x:v>220659.005983</x:v>
      </x:c>
      <x:c r="J49" s="43" t="n">
        <x:f>MAX(0,MAX($I$7:I49))-I49</x:f>
        <x:v>0</x:v>
      </x:c>
      <x:c r="K49" s="42" t="n">
        <x:v>2</x:v>
      </x:c>
      <x:c r="L49" s="42" t="n">
        <x:v>0</x:v>
      </x:c>
      <x:c r="M49" s="43" t="n">
        <x:v>22150</x:v>
      </x:c>
      <x:c r="N49" s="43" t="n">
        <x:v>500</x:v>
      </x:c>
      <x:c r="O49" s="43" t="n">
        <x:v>21650</x:v>
      </x:c>
      <x:c r="P49" s="43" t="n">
        <x:f>SUM($O$7:O49)</x:f>
        <x:v>223643.91732299997</x:v>
      </x:c>
      <x:c r="Q49" s="43" t="n">
        <x:f>MAX(0,MAX($P$7:P49))-P49</x:f>
        <x:v>0</x:v>
      </x:c>
      <x:c r="R49" s="42" t="n">
        <x:v>2</x:v>
      </x:c>
      <x:c r="S49" s="42" t="n">
        <x:v>0</x:v>
      </x:c>
      <x:c r="T49" s="43" t="n">
        <x:v>22150</x:v>
      </x:c>
      <x:c r="U49" s="43" t="n">
        <x:v>500</x:v>
      </x:c>
      <x:c r="V49" s="43" t="n">
        <x:v>21650</x:v>
      </x:c>
      <x:c r="W49" s="43" t="n">
        <x:f>SUM($V$7:V49)</x:f>
        <x:v>244012.71811499997</x:v>
      </x:c>
      <x:c r="X49" s="43" t="n">
        <x:f>MAX(0,MAX($W$7:W49))-W49</x:f>
        <x:v>0</x:v>
      </x:c>
      <x:c r="Y49" s="43" t="n">
        <x:f>O49-H49</x:f>
        <x:v>0</x:v>
      </x:c>
      <x:c r="Z49" s="43" t="n">
        <x:f>P49-I49</x:f>
        <x:v>2984.9113399999624</x:v>
      </x:c>
      <x:c r="AA49" s="43" t="n">
        <x:f>V49-H49</x:f>
        <x:v>0</x:v>
      </x:c>
      <x:c r="AB49" s="43" t="n">
        <x:f>W49-I49</x:f>
        <x:v>23353.712131999957</x:v>
      </x:c>
    </x:row>
  </x:sheetData>
  <x:mergeCells>
    <x:mergeCell ref="A5:C5"/>
    <x:mergeCell ref="D5:J5"/>
    <x:mergeCell ref="K5:Q5"/>
    <x:mergeCell ref="R5:X5"/>
    <x:mergeCell ref="Y5:AB5"/>
  </x:mergeCells>
  <x:conditionalFormatting sqref="H7:H49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O7:O49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V7:V49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Y7:AB49">
    <x:cfRule type="cellIs" dxfId="6" priority="7" operator="greaterThan">
      <x:formula>0</x:formula>
    </x:cfRule>
    <x:cfRule type="cellIs" dxfId="7" priority="8" operator="lessThan">
      <x:formula>0</x:formula>
    </x:cfRule>
  </x:conditionalFormatting>
  <x:pageMargins left="0.7" right="0.7" top="0.75" bottom="0.75" header="0.3" footer="0.3"/>
</x:worksheet>
</file>